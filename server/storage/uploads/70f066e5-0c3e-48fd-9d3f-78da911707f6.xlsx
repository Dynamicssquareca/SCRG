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gopalkaushal/Desktop/"/>
    </mc:Choice>
  </mc:AlternateContent>
  <xr:revisionPtr revIDLastSave="0" documentId="8_{7D845D64-97BB-B24A-865D-396D56050A5B}" xr6:coauthVersionLast="47" xr6:coauthVersionMax="47" xr10:uidLastSave="{00000000-0000-0000-0000-000000000000}"/>
  <bookViews>
    <workbookView xWindow="0" yWindow="780" windowWidth="34200" windowHeight="21460" tabRatio="695" xr2:uid="{00000000-000D-0000-FFFF-FFFF00000000}"/>
  </bookViews>
  <sheets>
    <sheet name="All_Tickets" sheetId="1" r:id="rId1"/>
    <sheet name="Close_Tickets" sheetId="4" r:id="rId2"/>
    <sheet name="Balance Hours" sheetId="5" r:id="rId3"/>
    <sheet name="Hours Used Monthly " sheetId="6" r:id="rId4"/>
    <sheet name="Updates format " sheetId="3" r:id="rId5"/>
    <sheet name="hiddenSheet" sheetId="2" state="veryHidden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6" l="1"/>
  <c r="O35" i="1"/>
  <c r="O34" i="1"/>
  <c r="O33" i="1"/>
  <c r="O32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E3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C21" i="5"/>
  <c r="B19" i="6"/>
  <c r="B3" i="6"/>
  <c r="B4" i="6"/>
  <c r="B5" i="6"/>
  <c r="B6" i="6"/>
  <c r="B8" i="6"/>
  <c r="B9" i="6"/>
  <c r="B10" i="6"/>
  <c r="B11" i="6"/>
  <c r="B12" i="6"/>
  <c r="B13" i="6"/>
  <c r="B14" i="6"/>
  <c r="B15" i="6"/>
  <c r="B16" i="6"/>
  <c r="B17" i="6"/>
  <c r="B18" i="6"/>
  <c r="B20" i="6"/>
  <c r="B21" i="6"/>
  <c r="B2" i="6"/>
  <c r="C3" i="6"/>
  <c r="C4" i="6"/>
  <c r="C5" i="6"/>
  <c r="C6" i="6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" i="6"/>
  <c r="E2" i="5"/>
  <c r="B1" i="3"/>
  <c r="B2" i="3"/>
  <c r="A2" i="4" a="1"/>
  <c r="A2" i="4" s="1"/>
  <c r="C24" i="6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<sst xmlns="http://schemas.openxmlformats.org/spreadsheetml/2006/main" count="439" uniqueCount="208">
  <si>
    <t>(Do Not Modify) Case</t>
  </si>
  <si>
    <t>(Do Not Modify) Row Checksum</t>
  </si>
  <si>
    <t>(Do Not Modify) Modified On</t>
  </si>
  <si>
    <t>Case Number</t>
  </si>
  <si>
    <t>Customer Name (Customer) (Account)</t>
  </si>
  <si>
    <t>Contact</t>
  </si>
  <si>
    <t>Created On</t>
  </si>
  <si>
    <t>Case Title</t>
  </si>
  <si>
    <t>Support Agent</t>
  </si>
  <si>
    <t>Status Reason</t>
  </si>
  <si>
    <t>Priority</t>
  </si>
  <si>
    <t>Country (Customer) (Account)</t>
  </si>
  <si>
    <t>Billable Duration</t>
  </si>
  <si>
    <t xml:space="preserve">Updated On </t>
  </si>
  <si>
    <t xml:space="preserve">Total Days </t>
  </si>
  <si>
    <t xml:space="preserve">Comments  </t>
  </si>
  <si>
    <t>dd140b0f-6fd9-42d8-a0c7-a547a0458d37</t>
  </si>
  <si>
    <t>uZZwAjFOnTk8jDbcD9xoROkx12E/3ezkzUSTYoYsGhUGGq9krTTSsg7mpPKBVCoBx2ze0lYcBwsyoe4dhOhuTw==</t>
  </si>
  <si>
    <t>DS-73092-D1Z1</t>
  </si>
  <si>
    <t>Q4 Services Inc.</t>
  </si>
  <si>
    <t>Berta Alday</t>
  </si>
  <si>
    <t>Job Task Dimension error</t>
  </si>
  <si>
    <t>Swaraj Kalsi</t>
  </si>
  <si>
    <t>Closed</t>
  </si>
  <si>
    <t>Normal - P2</t>
  </si>
  <si>
    <t>USA</t>
  </si>
  <si>
    <t>ccdea6df-0b36-499a-99c4-f6e7d105dd8e</t>
  </si>
  <si>
    <t>OkTkuXrDTizIf/rMKPviziisvIBxsIYRhPLu29pt5WHdaAxjR703Bea22iKUeFEipAMCKc9u/MSK6zTCO4XeJA==</t>
  </si>
  <si>
    <t>DS-72756-M1Y0</t>
  </si>
  <si>
    <t>Step by Step INC.</t>
  </si>
  <si>
    <t>Cynthia Sherrill</t>
  </si>
  <si>
    <t>Admin change notice BC</t>
  </si>
  <si>
    <t>Nikita Bhosale</t>
  </si>
  <si>
    <t>0ccc5dce-d405-f111-8406-6045bd1fb4f5</t>
  </si>
  <si>
    <t>cPUrPyMvcde9TtfWXe5Og3BauJmJyiSQByit6AKTtVd0QD5swdUv4uMJbPa+MgBrz7UIZWOHfttcTR3LfZEIJA==</t>
  </si>
  <si>
    <t>DS-72204-J5G0</t>
  </si>
  <si>
    <t>Franken Solar</t>
  </si>
  <si>
    <t>Steve Bachand</t>
  </si>
  <si>
    <t>FW: Alert! We've disabled one of your flows</t>
  </si>
  <si>
    <t>Divya Goyal</t>
  </si>
  <si>
    <t>In Progress</t>
  </si>
  <si>
    <t>Canada</t>
  </si>
  <si>
    <t xml:space="preserve">Mircosoft needs time </t>
  </si>
  <si>
    <t>3b881f72-2e01-f111-8407-6045bd1d66c6</t>
  </si>
  <si>
    <t>nPoRIyv9TBQ7aWhghqQLpCbUIZvZrasLACXSvp9u/rUt3xN49vlFTwvI5cHorAC+qWZYkRt661CHZR5YaOJIww==</t>
  </si>
  <si>
    <t>DS-71652-B6P1</t>
  </si>
  <si>
    <t>Summit Net Trekker</t>
  </si>
  <si>
    <t>Tania Kopystianskyj</t>
  </si>
  <si>
    <t>help closing fiscal year</t>
  </si>
  <si>
    <t>dfeab9b3-acfb-f011-8406-6045bd1d6d98</t>
  </si>
  <si>
    <t>OENyslksEpf5tXXD7yAJ/tZsBnOCdfunJoYVU7V/xGexRt/S046SAF3qrCqs1fBydTm2KNHstlk+qXcsdjsmxg==</t>
  </si>
  <si>
    <t>DS-71142-T5B7</t>
  </si>
  <si>
    <t>Jedwards International, Inc.</t>
  </si>
  <si>
    <t>Rich Hanson</t>
  </si>
  <si>
    <t>Trello NV202 Development Environment cannot find sql server</t>
  </si>
  <si>
    <t>Suresh Miglani(Freelancer)</t>
  </si>
  <si>
    <t xml:space="preserve">Closed </t>
  </si>
  <si>
    <t>171c8208-b605-4e7e-981a-8bcf9adccd75</t>
  </si>
  <si>
    <t>S1N3DdFfOUwhlaSnvWxfbuknYm08ofskfe78epkl9s7j7Y9yFGmBMxFBmAZbTNBxLAPNjIpkfghMHSatSGiGBQ==</t>
  </si>
  <si>
    <t>DS-70134-G6T7</t>
  </si>
  <si>
    <t>Iridex Corporation</t>
  </si>
  <si>
    <t>Brian Yates</t>
  </si>
  <si>
    <t>Dynamic Square Bin Content All Items Template Request</t>
  </si>
  <si>
    <t>Jay Desai</t>
  </si>
  <si>
    <t>3cbbfc2c-17f2-f011-8406-7ced8de5aca4</t>
  </si>
  <si>
    <t>hiPDv4oUGjzBf5raL8FM+hsHKX6IZsC4l7FtpozbVsHspHD9Qfv3DtDfGK4JBljXrTgW2HMmQN3YGFRVBi6bqA==</t>
  </si>
  <si>
    <t>DS-70132-J5X0</t>
  </si>
  <si>
    <t>RE: 2025 Business central questions</t>
  </si>
  <si>
    <t>398909f0-47cc-49d5-8493-12df2f15d7b7</t>
  </si>
  <si>
    <t>+ZTcKKJ+NR5g7++kozgP2oF9RNVl1J3id2mYIwD2uOrsKWsqiF5MkJGS2g+8FV0AzWUkad4T0S6/Tlt/3nxg1Q==</t>
  </si>
  <si>
    <t>DS-68839-W7K0</t>
  </si>
  <si>
    <t>Generating cycle count tags</t>
  </si>
  <si>
    <t>fcd95596-c167-4cf2-89a8-57e90af488de</t>
  </si>
  <si>
    <t>IjFyvXm+jL/KvuZEHZk8ObwPamCCtSB2c0vBwwcnKKZeefz8/TY4qqljI5R+PsIE5+3v9Cf3fVNHCMpuEmlUHw==</t>
  </si>
  <si>
    <t>DS-68764-C7G5</t>
  </si>
  <si>
    <t>Scottish Rite of Freemasonry</t>
  </si>
  <si>
    <t>Jorge Franchi</t>
  </si>
  <si>
    <t>Format change of file download</t>
  </si>
  <si>
    <t xml:space="preserve">Client sent some more changes </t>
  </si>
  <si>
    <t>777a4d45-8778-4732-ab13-79057c3f98a0</t>
  </si>
  <si>
    <t>dmbAGgxdB9pTb+oTYdF/WL4dtVU28SVaItAU+3IKbDaZrssruM+20tMMxHEeOe5ahsXXqs2bet1747ZsZil7qA==</t>
  </si>
  <si>
    <t>DS-68389-P5S3</t>
  </si>
  <si>
    <t>Mexi Land Inc</t>
  </si>
  <si>
    <t>Anthony Candelario</t>
  </si>
  <si>
    <t>Printer selections page</t>
  </si>
  <si>
    <t>9b03d0cc-6138-478f-b0fa-51817c02836a</t>
  </si>
  <si>
    <t>13ez45sQOsqmHs3ICb4rB/77avabEPR0pGktU2KNKBcASi0nWQF2sSFAHzNfPv+psG52/WXBDqf1F34xqsq+OA==</t>
  </si>
  <si>
    <t>DS-66177-F3F1</t>
  </si>
  <si>
    <t>DS // BC // MRP // NEED ROOT CAUSE ANALYSIS // 112425</t>
  </si>
  <si>
    <t>Shreyansh Gupta</t>
  </si>
  <si>
    <t>Some more changes needed - Jay is working on it</t>
  </si>
  <si>
    <t>c460973f-d3c3-f011-bbd3-000d3aa052bf</t>
  </si>
  <si>
    <t>eCQgLs0+orKdt/PEKN10j+fYkw1sn/iDu9qKQSzC1cYIvxh6oUmv/IIvINh8JNnxwyorqzhQ+97znrJGuXQV1g==</t>
  </si>
  <si>
    <t>DS-65512-R3W2</t>
  </si>
  <si>
    <t>Truecare Biomedix</t>
  </si>
  <si>
    <t>Rossanna Vanegas</t>
  </si>
  <si>
    <t>API Addition - Shipment Method fields</t>
  </si>
  <si>
    <t>DS-73464-G6W1</t>
  </si>
  <si>
    <t>Daniel Ripa</t>
  </si>
  <si>
    <t>RE: Your environment Sandbox_13Dec2024 could not be updated</t>
  </si>
  <si>
    <t>DS-72640-M9Z0</t>
  </si>
  <si>
    <t>Q4 Services - PO25-0977</t>
  </si>
  <si>
    <t>DS-72998-K3C5</t>
  </si>
  <si>
    <t>Sales Order Not Calculating Sales Tax</t>
  </si>
  <si>
    <t>DS-73731-B5W8</t>
  </si>
  <si>
    <t>Jet Report runs and never completes. May need fixing.  Jet Report for acct# 2021</t>
  </si>
  <si>
    <t>DS-74014-V7H5</t>
  </si>
  <si>
    <t>FW: Modify your extension so it’s compatible with the version 27.5.46631.0</t>
  </si>
  <si>
    <t>DS-74263-F9W5</t>
  </si>
  <si>
    <t>Trended Spending Report By Department By Account - Reopen</t>
  </si>
  <si>
    <t>Jay will close this soon</t>
  </si>
  <si>
    <t>DS-74408-Z5Z0</t>
  </si>
  <si>
    <t>Purchase order archives modifications if possible</t>
  </si>
  <si>
    <t xml:space="preserve">Hours approved and It will live by Monday </t>
  </si>
  <si>
    <t>DS-74582-C7X1</t>
  </si>
  <si>
    <t>Centon Electronics</t>
  </si>
  <si>
    <t>Jennifer Miscione</t>
  </si>
  <si>
    <t>DS-59295-Z2X0: Split Sales Line Issue</t>
  </si>
  <si>
    <t xml:space="preserve">Login issues going with client </t>
  </si>
  <si>
    <t>DS-74933-H7J6</t>
  </si>
  <si>
    <t>Aline Studio</t>
  </si>
  <si>
    <t>LINDSEY BEDNAR</t>
  </si>
  <si>
    <t>ALine support request - turn off auto contact adding + fix time zone</t>
  </si>
  <si>
    <t>Sahil Bhaldar</t>
  </si>
  <si>
    <t>DS-75008-X2M9</t>
  </si>
  <si>
    <t>Need Swaraj to examine DEV sandbox dynamic Square extensions to make sure they are all there</t>
  </si>
  <si>
    <t xml:space="preserve">Environment update done successfully </t>
  </si>
  <si>
    <t>DS-75005-Y9B1</t>
  </si>
  <si>
    <t>ALine Support Request - Dynamics Errors + Customizations March 4, 2026</t>
  </si>
  <si>
    <t xml:space="preserve">Ticket raised to Mircrosoft support </t>
  </si>
  <si>
    <t>DS-75059-H4P6</t>
  </si>
  <si>
    <t>Narayan Raj</t>
  </si>
  <si>
    <t>Packing slip needs an urgent correction</t>
  </si>
  <si>
    <t>DS-75098-J7R0</t>
  </si>
  <si>
    <t>New Supplier // REPUBLIC OF THE MARSHALL ISLANDS // 030326</t>
  </si>
  <si>
    <t>DS-75092-S1Q4</t>
  </si>
  <si>
    <t>TAT Technologies</t>
  </si>
  <si>
    <t>Kim VU</t>
  </si>
  <si>
    <t>ACH Export</t>
  </si>
  <si>
    <t xml:space="preserve">Effort approved and after that we can start working on it </t>
  </si>
  <si>
    <t>DS-75472-D4V2</t>
  </si>
  <si>
    <t>Van Dolder's Home Team</t>
  </si>
  <si>
    <t>Marty Tengelis</t>
  </si>
  <si>
    <t>Sales ORder not updating</t>
  </si>
  <si>
    <t>DS-75601-D9L7</t>
  </si>
  <si>
    <t>Modify your extension so it’s compatible with the version 28.0.46665.47371</t>
  </si>
  <si>
    <t>Shubham Singh</t>
  </si>
  <si>
    <t xml:space="preserve">Work done and sent for client tetsing </t>
  </si>
  <si>
    <t>DS-75591-S5C1</t>
  </si>
  <si>
    <t>System addition</t>
  </si>
  <si>
    <t xml:space="preserve">Swaraj will complete this by tomorrow </t>
  </si>
  <si>
    <t>DS-75555-W0M7</t>
  </si>
  <si>
    <t>Post Shipment Schafer button - request new feature</t>
  </si>
  <si>
    <t>Akshay Thakkar</t>
  </si>
  <si>
    <t xml:space="preserve">Developed the changes in sandbox and ask for a meeting with client </t>
  </si>
  <si>
    <t>DS-75607-W7R7</t>
  </si>
  <si>
    <t>Urgent Request: Unlock UOM Titles on Posted Sales Invoices (Production Environment)</t>
  </si>
  <si>
    <t>DS-75768-X3G8</t>
  </si>
  <si>
    <t>Jet Report not working</t>
  </si>
  <si>
    <t xml:space="preserve">Jay is working on it </t>
  </si>
  <si>
    <t>DS-75774-F0F6</t>
  </si>
  <si>
    <t>Approval Workflow for Recurring Journal Entries</t>
  </si>
  <si>
    <t xml:space="preserve">Swaraj is working on it </t>
  </si>
  <si>
    <t>DS-75949-Q8W3</t>
  </si>
  <si>
    <t>Hung up and ask user to log back instead of just refreshing</t>
  </si>
  <si>
    <t>Account Name</t>
  </si>
  <si>
    <t>December</t>
  </si>
  <si>
    <t>January</t>
  </si>
  <si>
    <t xml:space="preserve">Febuary </t>
  </si>
  <si>
    <t xml:space="preserve">March </t>
  </si>
  <si>
    <t>Americal Vision Group</t>
  </si>
  <si>
    <t>Anderson and Middleton</t>
  </si>
  <si>
    <t>Bahai's Canada</t>
  </si>
  <si>
    <t>Buckland</t>
  </si>
  <si>
    <t>Child development</t>
  </si>
  <si>
    <t>51.75 + 6.5</t>
  </si>
  <si>
    <t>51.75 + (-15)</t>
  </si>
  <si>
    <t>51.75 + 10</t>
  </si>
  <si>
    <t>F&amp;H Group USA Inc.</t>
  </si>
  <si>
    <t>Griffin Glass</t>
  </si>
  <si>
    <t>Microboards Technology</t>
  </si>
  <si>
    <t>Millcreek Inn</t>
  </si>
  <si>
    <t>Wave Healthcare</t>
  </si>
  <si>
    <t>BLUE LABEL PACKAGING CO</t>
  </si>
  <si>
    <t>March</t>
  </si>
  <si>
    <t>Total</t>
  </si>
  <si>
    <t>Open Tickets</t>
  </si>
  <si>
    <t>Closed Tickets</t>
  </si>
  <si>
    <t>Feedback Received</t>
  </si>
  <si>
    <t>Escalation</t>
  </si>
  <si>
    <t>Meetings</t>
  </si>
  <si>
    <t xml:space="preserve">Calls Done </t>
  </si>
  <si>
    <t>incident:LOKSnd1FareHpei8TkKDPeKa4FC0XhfFxa/4iCtVj5QM8HROurLRaYQpBB7kCou+f8Z0QmOrk5jrUXwjYO13Kg==:incidentid=%28Do%20Not%20Modify%29%20Case&amp;checksumLogicalName=%28Do%20Not%20Modify%29%20Row%20Checksum&amp;modifiedon=%28Do%20Not%20Modify%29%20Modified%20On&amp;ticketnumber=Case%20Number&amp;442bd308-8234-463d-8aca-0eb095fb8874.new_accountdisplayname=Customer%20Name%20%28Customer%29%20%28Account%29&amp;primarycontactid=Contact&amp;createdon=Created%20On&amp;title=Case%20Title&amp;ds_supportagentcontact=Support%20Agent&amp;statuscode=Status%20Reason&amp;prioritycode=Priority&amp;442bd308-8234-463d-8aca-0eb095fb8874.ds_country=Country%20%28Customer%29%20%28Account%29&amp;ds_totalbillableduration=Billable%20Duration</t>
  </si>
  <si>
    <t>Open</t>
  </si>
  <si>
    <t>Cancelled</t>
  </si>
  <si>
    <t>Customer Information</t>
  </si>
  <si>
    <t>Pending for Effort Approval</t>
  </si>
  <si>
    <t>On Hold</t>
  </si>
  <si>
    <t>Customer Testing</t>
  </si>
  <si>
    <t>Move to Prod.</t>
  </si>
  <si>
    <t>Microsoft</t>
  </si>
  <si>
    <t>Problem Solved</t>
  </si>
  <si>
    <t>Information Provided</t>
  </si>
  <si>
    <t>Canceled</t>
  </si>
  <si>
    <t>Merged</t>
  </si>
  <si>
    <t>High - P1</t>
  </si>
  <si>
    <t>Low - P3</t>
  </si>
  <si>
    <t>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</si>
</sst>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Aptos Narrow"/>
    </font>
    <font>
      <sz val="11"/>
      <color theme="1"/>
      <name val="Aptos Narrow"/>
      <family val="2"/>
      <scheme val="minor"/>
    </font>
    <font>
      <b/>
      <sz val="11"/>
      <color theme="0"/>
      <name val="Aptos Narrow"/>
    </font>
    <font>
      <sz val="11"/>
      <name val="Aptos Narrow"/>
      <family val="2"/>
    </font>
    <font>
      <b/>
      <sz val="11"/>
      <color theme="0"/>
      <name val="Aptos Narrow"/>
      <family val="2"/>
    </font>
    <font>
      <b/>
      <sz val="11"/>
      <color rgb="FF201F1E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49" fontId="0" fillId="0" borderId="0" xfId="0" applyNumberFormat="1"/>
    <xf numFmtId="22" fontId="0" fillId="0" borderId="0" xfId="0" applyNumberFormat="1"/>
    <xf numFmtId="2" fontId="0" fillId="0" borderId="0" xfId="0" applyNumberFormat="1"/>
    <xf numFmtId="0" fontId="0" fillId="0" borderId="1" xfId="0" applyBorder="1"/>
    <xf numFmtId="49" fontId="0" fillId="2" borderId="1" xfId="0" applyNumberFormat="1" applyFill="1" applyBorder="1"/>
    <xf numFmtId="22" fontId="0" fillId="2" borderId="1" xfId="0" applyNumberForma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wrapText="1"/>
    </xf>
    <xf numFmtId="0" fontId="0" fillId="0" borderId="0" xfId="0" applyAlignment="1">
      <alignment wrapText="1"/>
    </xf>
    <xf numFmtId="0" fontId="0" fillId="2" borderId="2" xfId="0" applyFill="1" applyBorder="1" applyAlignment="1">
      <alignment wrapText="1"/>
    </xf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wrapText="1"/>
    </xf>
    <xf numFmtId="14" fontId="0" fillId="0" borderId="0" xfId="0" applyNumberFormat="1"/>
    <xf numFmtId="14" fontId="3" fillId="2" borderId="1" xfId="0" applyNumberFormat="1" applyFont="1" applyFill="1" applyBorder="1" applyAlignment="1">
      <alignment horizontal="left"/>
    </xf>
    <xf numFmtId="14" fontId="0" fillId="2" borderId="1" xfId="0" applyNumberFormat="1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0" fontId="2" fillId="3" borderId="1" xfId="0" applyFont="1" applyFill="1" applyBorder="1"/>
    <xf numFmtId="14" fontId="4" fillId="3" borderId="1" xfId="0" applyNumberFormat="1" applyFont="1" applyFill="1" applyBorder="1" applyAlignment="1">
      <alignment horizontal="left"/>
    </xf>
    <xf numFmtId="0" fontId="2" fillId="3" borderId="1" xfId="0" applyFont="1" applyFill="1" applyBorder="1" applyAlignment="1">
      <alignment wrapText="1"/>
    </xf>
    <xf numFmtId="1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0" fillId="0" borderId="1" xfId="0" applyBorder="1" applyAlignment="1">
      <alignment horizontal="left"/>
    </xf>
    <xf numFmtId="49" fontId="0" fillId="2" borderId="1" xfId="0" applyNumberFormat="1" applyFill="1" applyBorder="1" applyAlignment="1">
      <alignment wrapText="1"/>
    </xf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right"/>
    </xf>
    <xf numFmtId="49" fontId="0" fillId="2" borderId="3" xfId="0" applyNumberFormat="1" applyFill="1" applyBorder="1"/>
    <xf numFmtId="14" fontId="0" fillId="2" borderId="3" xfId="0" applyNumberFormat="1" applyFill="1" applyBorder="1"/>
    <xf numFmtId="2" fontId="0" fillId="2" borderId="3" xfId="0" applyNumberFormat="1" applyFill="1" applyBorder="1"/>
    <xf numFmtId="14" fontId="0" fillId="0" borderId="0" xfId="0" applyNumberFormat="1" applyAlignment="1">
      <alignment horizontal="left"/>
    </xf>
    <xf numFmtId="49" fontId="0" fillId="0" borderId="1" xfId="0" applyNumberFormat="1" applyBorder="1"/>
    <xf numFmtId="2" fontId="0" fillId="0" borderId="1" xfId="0" applyNumberFormat="1" applyBorder="1"/>
    <xf numFmtId="1" fontId="0" fillId="0" borderId="1" xfId="0" applyNumberFormat="1" applyBorder="1"/>
    <xf numFmtId="1" fontId="0" fillId="0" borderId="0" xfId="0" applyNumberFormat="1"/>
    <xf numFmtId="14" fontId="3" fillId="0" borderId="0" xfId="0" applyNumberFormat="1" applyFont="1" applyAlignment="1">
      <alignment horizontal="left"/>
    </xf>
    <xf numFmtId="14" fontId="0" fillId="2" borderId="2" xfId="0" applyNumberFormat="1" applyFill="1" applyBorder="1" applyAlignment="1" applyProtection="1">
      <alignment horizontal="left"/>
      <protection locked="0"/>
    </xf>
    <xf numFmtId="1" fontId="4" fillId="3" borderId="1" xfId="0" applyNumberFormat="1" applyFont="1" applyFill="1" applyBorder="1" applyAlignment="1">
      <alignment horizontal="left"/>
    </xf>
    <xf numFmtId="0" fontId="3" fillId="0" borderId="1" xfId="0" applyFont="1" applyBorder="1"/>
    <xf numFmtId="0" fontId="0" fillId="5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0" xfId="0" applyFont="1"/>
    <xf numFmtId="0" fontId="0" fillId="2" borderId="1" xfId="0" applyFill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2" fontId="3" fillId="5" borderId="1" xfId="0" applyNumberFormat="1" applyFont="1" applyFill="1" applyBorder="1"/>
    <xf numFmtId="14" fontId="2" fillId="3" borderId="1" xfId="0" applyNumberFormat="1" applyFont="1" applyFill="1" applyBorder="1" applyAlignment="1">
      <alignment horizontal="left"/>
    </xf>
    <xf numFmtId="1" fontId="3" fillId="0" borderId="0" xfId="0" applyNumberFormat="1" applyFont="1" applyAlignment="1">
      <alignment horizontal="center"/>
    </xf>
    <xf numFmtId="1" fontId="0" fillId="2" borderId="2" xfId="0" applyNumberFormat="1" applyFill="1" applyBorder="1" applyAlignment="1" applyProtection="1">
      <alignment horizontal="center"/>
      <protection locked="0"/>
    </xf>
    <xf numFmtId="1" fontId="0" fillId="2" borderId="1" xfId="0" applyNumberFormat="1" applyFill="1" applyBorder="1" applyAlignment="1">
      <alignment horizontal="center"/>
    </xf>
    <xf numFmtId="1" fontId="3" fillId="2" borderId="1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 wrapText="1"/>
    </xf>
    <xf numFmtId="14" fontId="0" fillId="2" borderId="3" xfId="0" applyNumberFormat="1" applyFill="1" applyBorder="1" applyAlignment="1">
      <alignment horizontal="left"/>
    </xf>
    <xf numFmtId="1" fontId="0" fillId="2" borderId="3" xfId="0" applyNumberFormat="1" applyFill="1" applyBorder="1" applyAlignment="1">
      <alignment horizontal="center"/>
    </xf>
    <xf numFmtId="0" fontId="7" fillId="0" borderId="1" xfId="0" applyFont="1" applyBorder="1"/>
    <xf numFmtId="0" fontId="3" fillId="0" borderId="0" xfId="0" applyFont="1" applyAlignment="1">
      <alignment vertical="center" wrapText="1"/>
    </xf>
    <xf numFmtId="0" fontId="3" fillId="0" borderId="1" xfId="0" applyFont="1" applyBorder="1" applyAlignment="1">
      <alignment horizontal="left"/>
    </xf>
    <xf numFmtId="0" fontId="3" fillId="5" borderId="1" xfId="0" applyFont="1" applyFill="1" applyBorder="1" applyAlignment="1">
      <alignment horizontal="left" vertical="center" wrapText="1"/>
    </xf>
    <xf numFmtId="2" fontId="3" fillId="0" borderId="1" xfId="0" applyNumberFormat="1" applyFont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left"/>
    </xf>
    <xf numFmtId="0" fontId="6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wrapText="1"/>
    </xf>
    <xf numFmtId="49" fontId="0" fillId="0" borderId="0" xfId="0" applyNumberFormat="1" applyFont="1"/>
  </cellXfs>
  <cellStyles count="2">
    <cellStyle name="Normal" xfId="0" builtinId="0"/>
    <cellStyle name="Normal 2" xfId="1" xr:uid="{A9619B76-0BC2-4A01-B3BB-EE2DA0A85AC1}"/>
  </cellStyles>
  <dxfs count="13">
    <dxf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dd/mm/yyyy"/>
      <fill>
        <patternFill patternType="solid">
          <fgColor indexed="64"/>
          <bgColor theme="0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d/mm/yyyy"/>
      <fill>
        <patternFill patternType="solid"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35" totalsRowShown="0">
  <autoFilter ref="A1:P35" xr:uid="{00000000-000C-0000-FFFF-FFFF00000000}"/>
  <tableColumns count="16">
    <tableColumn id="1" xr3:uid="{00000000-0010-0000-0000-000001000000}" name="(Do Not Modify) Case"/>
    <tableColumn id="2" xr3:uid="{00000000-0010-0000-0000-000002000000}" name="(Do Not Modify) Row Checksum"/>
    <tableColumn id="3" xr3:uid="{00000000-0010-0000-0000-000003000000}" name="(Do Not Modify) Modified On"/>
    <tableColumn id="4" xr3:uid="{00000000-0010-0000-0000-000004000000}" name="Case Number" dataDxfId="12"/>
    <tableColumn id="5" xr3:uid="{00000000-0010-0000-0000-000005000000}" name="Customer Name (Customer) (Account)" dataDxfId="11"/>
    <tableColumn id="6" xr3:uid="{00000000-0010-0000-0000-000006000000}" name="Contact" dataDxfId="10"/>
    <tableColumn id="7" xr3:uid="{00000000-0010-0000-0000-000007000000}" name="Created On" dataDxfId="9"/>
    <tableColumn id="8" xr3:uid="{00000000-0010-0000-0000-000008000000}" name="Case Title" dataDxfId="8"/>
    <tableColumn id="9" xr3:uid="{00000000-0010-0000-0000-000009000000}" name="Support Agent" dataDxfId="7"/>
    <tableColumn id="10" xr3:uid="{00000000-0010-0000-0000-00000A000000}" name="Status Reason" dataDxfId="6"/>
    <tableColumn id="11" xr3:uid="{00000000-0010-0000-0000-00000B000000}" name="Priority" dataDxfId="5"/>
    <tableColumn id="12" xr3:uid="{00000000-0010-0000-0000-00000C000000}" name="Country (Customer) (Account)" dataDxfId="4"/>
    <tableColumn id="13" xr3:uid="{00000000-0010-0000-0000-00000D000000}" name="Billable Duration" dataDxfId="3"/>
    <tableColumn id="16" xr3:uid="{33B580D1-5123-492E-B94E-22B312060E0D}" name="Updated On " dataDxfId="2"/>
    <tableColumn id="15" xr3:uid="{E76DB07C-AD3A-4BE6-930A-BFFEAAED85EC}" name="Total Days " dataDxfId="1">
      <calculatedColumnFormula>IF(J2="Closed", N2-G2+1, TODAY()-G2+1)</calculatedColumnFormula>
    </tableColumn>
    <tableColumn id="14" xr3:uid="{0473AF64-DB85-4ADB-89B1-6A68CE19CC20}" name="Comments  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P40"/>
  <sheetViews>
    <sheetView tabSelected="1" topLeftCell="D1" zoomScale="158" zoomScaleNormal="70" workbookViewId="0">
      <selection activeCell="F40" sqref="F40"/>
    </sheetView>
  </sheetViews>
  <sheetFormatPr baseColWidth="10" defaultColWidth="8.83203125" defaultRowHeight="15" x14ac:dyDescent="0.2"/>
  <cols>
    <col min="1" max="1" width="0" hidden="1" customWidth="1"/>
    <col min="2" max="2" width="0" style="1" hidden="1" customWidth="1"/>
    <col min="3" max="3" width="0" style="2" hidden="1" customWidth="1"/>
    <col min="4" max="4" width="15.5" style="1" customWidth="1"/>
    <col min="5" max="5" width="25.5" style="1" customWidth="1"/>
    <col min="6" max="6" width="21.6640625" style="1" customWidth="1"/>
    <col min="7" max="7" width="13.5" style="13" bestFit="1" customWidth="1"/>
    <col min="8" max="8" width="37.5" style="1" customWidth="1"/>
    <col min="9" max="9" width="22.5" style="1" customWidth="1"/>
    <col min="10" max="10" width="15.6640625" style="1" customWidth="1"/>
    <col min="11" max="11" width="11.1640625" style="1" customWidth="1"/>
    <col min="12" max="12" width="7.1640625" style="1" customWidth="1"/>
    <col min="13" max="13" width="7.33203125" style="3" customWidth="1"/>
    <col min="14" max="14" width="12.1640625" style="30" customWidth="1"/>
    <col min="15" max="15" width="9.6640625" style="51" customWidth="1"/>
    <col min="16" max="16" width="49.5" bestFit="1" customWidth="1"/>
  </cols>
  <sheetData>
    <row r="1" spans="1:16" ht="16" x14ac:dyDescent="0.2">
      <c r="A1" t="s">
        <v>0</v>
      </c>
      <c r="B1" t="s">
        <v>1</v>
      </c>
      <c r="C1" t="s">
        <v>2</v>
      </c>
      <c r="D1" s="38" t="s">
        <v>3</v>
      </c>
      <c r="E1" s="4" t="s">
        <v>4</v>
      </c>
      <c r="F1" s="4" t="s">
        <v>5</v>
      </c>
      <c r="G1" s="22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5" t="s">
        <v>13</v>
      </c>
      <c r="O1" s="47" t="s">
        <v>14</v>
      </c>
      <c r="P1" s="9" t="s">
        <v>15</v>
      </c>
    </row>
    <row r="2" spans="1:16" ht="16" x14ac:dyDescent="0.2">
      <c r="A2" t="s">
        <v>16</v>
      </c>
      <c r="B2" s="1" t="s">
        <v>17</v>
      </c>
      <c r="C2" s="2">
        <v>46071.839803240699</v>
      </c>
      <c r="D2" s="5" t="s">
        <v>18</v>
      </c>
      <c r="E2" s="42" t="s">
        <v>19</v>
      </c>
      <c r="F2" s="5" t="s">
        <v>20</v>
      </c>
      <c r="G2" s="25">
        <v>46069.338391203702</v>
      </c>
      <c r="H2" s="5" t="s">
        <v>21</v>
      </c>
      <c r="I2" s="5" t="s">
        <v>22</v>
      </c>
      <c r="J2" s="5" t="s">
        <v>23</v>
      </c>
      <c r="K2" s="5" t="s">
        <v>24</v>
      </c>
      <c r="L2" s="5" t="s">
        <v>25</v>
      </c>
      <c r="M2" s="7">
        <v>1</v>
      </c>
      <c r="N2" s="36">
        <v>46072</v>
      </c>
      <c r="O2" s="48">
        <f t="shared" ref="O2:O31" ca="1" si="0">IF(J2="Closed", N2-G2+1, TODAY()-G2+1)</f>
        <v>3.6616087962975143</v>
      </c>
      <c r="P2" s="10" t="s">
        <v>23</v>
      </c>
    </row>
    <row r="3" spans="1:16" ht="16" x14ac:dyDescent="0.2">
      <c r="A3" t="s">
        <v>26</v>
      </c>
      <c r="B3" s="1" t="s">
        <v>27</v>
      </c>
      <c r="C3" s="2">
        <v>46071.776261574101</v>
      </c>
      <c r="D3" s="5" t="s">
        <v>28</v>
      </c>
      <c r="E3" s="44" t="s">
        <v>29</v>
      </c>
      <c r="F3" s="5" t="s">
        <v>30</v>
      </c>
      <c r="G3" s="25">
        <v>46065.6482986111</v>
      </c>
      <c r="H3" s="5" t="s">
        <v>31</v>
      </c>
      <c r="I3" s="5" t="s">
        <v>32</v>
      </c>
      <c r="J3" s="5" t="s">
        <v>23</v>
      </c>
      <c r="K3" s="5" t="s">
        <v>24</v>
      </c>
      <c r="L3" s="5" t="s">
        <v>25</v>
      </c>
      <c r="M3" s="7">
        <v>0.5</v>
      </c>
      <c r="N3" s="15">
        <v>46073</v>
      </c>
      <c r="O3" s="49">
        <f t="shared" ca="1" si="0"/>
        <v>8.351701388899528</v>
      </c>
      <c r="P3" s="8" t="s">
        <v>23</v>
      </c>
    </row>
    <row r="4" spans="1:16" ht="16" x14ac:dyDescent="0.2">
      <c r="A4" t="s">
        <v>33</v>
      </c>
      <c r="B4" s="1" t="s">
        <v>34</v>
      </c>
      <c r="C4" s="2">
        <v>46071.819074074097</v>
      </c>
      <c r="D4" s="5" t="s">
        <v>35</v>
      </c>
      <c r="E4" s="44" t="s">
        <v>36</v>
      </c>
      <c r="F4" s="5" t="s">
        <v>37</v>
      </c>
      <c r="G4" s="25">
        <v>46062.6887152778</v>
      </c>
      <c r="H4" s="5" t="s">
        <v>38</v>
      </c>
      <c r="I4" s="5" t="s">
        <v>39</v>
      </c>
      <c r="J4" s="5" t="s">
        <v>40</v>
      </c>
      <c r="K4" s="5" t="s">
        <v>24</v>
      </c>
      <c r="L4" s="5" t="s">
        <v>41</v>
      </c>
      <c r="M4" s="7"/>
      <c r="N4" s="15">
        <v>46096</v>
      </c>
      <c r="O4" s="49">
        <f t="shared" ca="1" si="0"/>
        <v>34.311284722200071</v>
      </c>
      <c r="P4" s="8" t="s">
        <v>42</v>
      </c>
    </row>
    <row r="5" spans="1:16" ht="16" x14ac:dyDescent="0.2">
      <c r="A5" t="s">
        <v>43</v>
      </c>
      <c r="B5" s="1" t="s">
        <v>44</v>
      </c>
      <c r="C5" s="2">
        <v>46071.779398148101</v>
      </c>
      <c r="D5" s="5" t="s">
        <v>45</v>
      </c>
      <c r="E5" s="44" t="s">
        <v>46</v>
      </c>
      <c r="F5" s="5" t="s">
        <v>47</v>
      </c>
      <c r="G5" s="25">
        <v>46056.771423611099</v>
      </c>
      <c r="H5" s="5" t="s">
        <v>48</v>
      </c>
      <c r="I5" s="5" t="s">
        <v>22</v>
      </c>
      <c r="J5" s="5" t="s">
        <v>23</v>
      </c>
      <c r="K5" s="5" t="s">
        <v>24</v>
      </c>
      <c r="L5" s="5" t="s">
        <v>25</v>
      </c>
      <c r="M5" s="7">
        <v>0</v>
      </c>
      <c r="N5" s="15">
        <v>46079</v>
      </c>
      <c r="O5" s="49">
        <f t="shared" ca="1" si="0"/>
        <v>23.228576388901274</v>
      </c>
      <c r="P5" s="12" t="s">
        <v>23</v>
      </c>
    </row>
    <row r="6" spans="1:16" ht="16" x14ac:dyDescent="0.2">
      <c r="A6" t="s">
        <v>49</v>
      </c>
      <c r="B6" s="1" t="s">
        <v>50</v>
      </c>
      <c r="C6" s="2">
        <v>46071.776030092602</v>
      </c>
      <c r="D6" s="5" t="s">
        <v>51</v>
      </c>
      <c r="E6" s="44" t="s">
        <v>52</v>
      </c>
      <c r="F6" s="5" t="s">
        <v>53</v>
      </c>
      <c r="G6" s="25">
        <v>46049.763472222199</v>
      </c>
      <c r="H6" s="5" t="s">
        <v>54</v>
      </c>
      <c r="I6" s="5" t="s">
        <v>55</v>
      </c>
      <c r="J6" s="5" t="s">
        <v>23</v>
      </c>
      <c r="K6" s="5" t="s">
        <v>24</v>
      </c>
      <c r="L6" s="5" t="s">
        <v>25</v>
      </c>
      <c r="M6" s="7">
        <v>7</v>
      </c>
      <c r="N6" s="14">
        <v>46076</v>
      </c>
      <c r="O6" s="50">
        <f t="shared" ca="1" si="0"/>
        <v>27.236527777800802</v>
      </c>
      <c r="P6" s="12" t="s">
        <v>56</v>
      </c>
    </row>
    <row r="7" spans="1:16" ht="16" x14ac:dyDescent="0.2">
      <c r="A7" t="s">
        <v>57</v>
      </c>
      <c r="B7" s="1" t="s">
        <v>58</v>
      </c>
      <c r="C7" s="2">
        <v>46071.856909722199</v>
      </c>
      <c r="D7" s="5" t="s">
        <v>59</v>
      </c>
      <c r="E7" s="44" t="s">
        <v>60</v>
      </c>
      <c r="F7" s="5" t="s">
        <v>61</v>
      </c>
      <c r="G7" s="25">
        <v>46037.588900463001</v>
      </c>
      <c r="H7" s="5" t="s">
        <v>62</v>
      </c>
      <c r="I7" s="5" t="s">
        <v>63</v>
      </c>
      <c r="J7" s="5" t="s">
        <v>23</v>
      </c>
      <c r="K7" s="5" t="s">
        <v>24</v>
      </c>
      <c r="L7" s="5" t="s">
        <v>25</v>
      </c>
      <c r="M7" s="7">
        <v>7</v>
      </c>
      <c r="N7" s="15">
        <v>46079</v>
      </c>
      <c r="O7" s="49">
        <f t="shared" ca="1" si="0"/>
        <v>42.411099536999245</v>
      </c>
      <c r="P7" s="12" t="s">
        <v>23</v>
      </c>
    </row>
    <row r="8" spans="1:16" ht="16" x14ac:dyDescent="0.2">
      <c r="A8" t="s">
        <v>64</v>
      </c>
      <c r="B8" s="1" t="s">
        <v>65</v>
      </c>
      <c r="C8" s="2">
        <v>46071.834155092598</v>
      </c>
      <c r="D8" s="5" t="s">
        <v>66</v>
      </c>
      <c r="E8" s="44" t="s">
        <v>46</v>
      </c>
      <c r="F8" s="5" t="s">
        <v>47</v>
      </c>
      <c r="G8" s="25">
        <v>46037.566944444399</v>
      </c>
      <c r="H8" s="5" t="s">
        <v>67</v>
      </c>
      <c r="I8" s="5" t="s">
        <v>22</v>
      </c>
      <c r="J8" s="5" t="s">
        <v>23</v>
      </c>
      <c r="K8" s="5" t="s">
        <v>24</v>
      </c>
      <c r="L8" s="5" t="s">
        <v>25</v>
      </c>
      <c r="M8" s="7">
        <v>3</v>
      </c>
      <c r="N8" s="15">
        <v>46076</v>
      </c>
      <c r="O8" s="49">
        <f t="shared" ca="1" si="0"/>
        <v>39.433055555600731</v>
      </c>
      <c r="P8" s="12" t="s">
        <v>56</v>
      </c>
    </row>
    <row r="9" spans="1:16" ht="16" x14ac:dyDescent="0.2">
      <c r="A9" t="s">
        <v>68</v>
      </c>
      <c r="B9" s="1" t="s">
        <v>69</v>
      </c>
      <c r="C9" s="2">
        <v>46071.838449074101</v>
      </c>
      <c r="D9" s="5" t="s">
        <v>70</v>
      </c>
      <c r="E9" s="44" t="s">
        <v>60</v>
      </c>
      <c r="F9" s="5" t="s">
        <v>61</v>
      </c>
      <c r="G9" s="25">
        <v>46021.6497453704</v>
      </c>
      <c r="H9" s="5" t="s">
        <v>71</v>
      </c>
      <c r="I9" s="5" t="s">
        <v>63</v>
      </c>
      <c r="J9" s="5" t="s">
        <v>23</v>
      </c>
      <c r="K9" s="5" t="s">
        <v>24</v>
      </c>
      <c r="L9" s="5" t="s">
        <v>25</v>
      </c>
      <c r="M9" s="7">
        <v>2.75</v>
      </c>
      <c r="N9" s="15">
        <v>46079</v>
      </c>
      <c r="O9" s="49">
        <f t="shared" ca="1" si="0"/>
        <v>58.350254629600386</v>
      </c>
      <c r="P9" s="12" t="s">
        <v>23</v>
      </c>
    </row>
    <row r="10" spans="1:16" ht="16" x14ac:dyDescent="0.2">
      <c r="A10" t="s">
        <v>72</v>
      </c>
      <c r="B10" s="1" t="s">
        <v>73</v>
      </c>
      <c r="C10" s="2">
        <v>46071.8335069444</v>
      </c>
      <c r="D10" s="5" t="s">
        <v>74</v>
      </c>
      <c r="E10" s="5" t="s">
        <v>75</v>
      </c>
      <c r="F10" s="5" t="s">
        <v>76</v>
      </c>
      <c r="G10" s="25">
        <v>46020.430162037002</v>
      </c>
      <c r="H10" s="5" t="s">
        <v>77</v>
      </c>
      <c r="I10" s="5" t="s">
        <v>22</v>
      </c>
      <c r="J10" s="5" t="s">
        <v>40</v>
      </c>
      <c r="K10" s="5" t="s">
        <v>24</v>
      </c>
      <c r="L10" s="5" t="s">
        <v>25</v>
      </c>
      <c r="M10" s="7"/>
      <c r="N10" s="15">
        <v>46093</v>
      </c>
      <c r="O10" s="49">
        <f t="shared" ca="1" si="0"/>
        <v>76.569837962997553</v>
      </c>
      <c r="P10" s="12" t="s">
        <v>78</v>
      </c>
    </row>
    <row r="11" spans="1:16" ht="16" x14ac:dyDescent="0.2">
      <c r="A11" t="s">
        <v>79</v>
      </c>
      <c r="B11" s="1" t="s">
        <v>80</v>
      </c>
      <c r="C11" s="2">
        <v>46071.8600925926</v>
      </c>
      <c r="D11" s="5" t="s">
        <v>81</v>
      </c>
      <c r="E11" s="44" t="s">
        <v>82</v>
      </c>
      <c r="F11" s="5" t="s">
        <v>83</v>
      </c>
      <c r="G11" s="25">
        <v>46009.644571759301</v>
      </c>
      <c r="H11" s="5" t="s">
        <v>84</v>
      </c>
      <c r="I11" s="5" t="s">
        <v>22</v>
      </c>
      <c r="J11" s="5" t="s">
        <v>23</v>
      </c>
      <c r="K11" s="5" t="s">
        <v>24</v>
      </c>
      <c r="L11" s="5" t="s">
        <v>25</v>
      </c>
      <c r="M11" s="7">
        <v>1.5</v>
      </c>
      <c r="N11" s="15">
        <v>46080</v>
      </c>
      <c r="O11" s="49">
        <f t="shared" ca="1" si="0"/>
        <v>71.355428240698529</v>
      </c>
      <c r="P11" s="12" t="s">
        <v>23</v>
      </c>
    </row>
    <row r="12" spans="1:16" ht="16" x14ac:dyDescent="0.2">
      <c r="A12" t="s">
        <v>85</v>
      </c>
      <c r="B12" s="1" t="s">
        <v>86</v>
      </c>
      <c r="C12" s="2">
        <v>46071.861979166701</v>
      </c>
      <c r="D12" s="11" t="s">
        <v>87</v>
      </c>
      <c r="E12" s="5" t="s">
        <v>60</v>
      </c>
      <c r="F12" s="5" t="s">
        <v>61</v>
      </c>
      <c r="G12" s="25">
        <v>45986.340138888903</v>
      </c>
      <c r="H12" s="5" t="s">
        <v>88</v>
      </c>
      <c r="I12" s="5" t="s">
        <v>89</v>
      </c>
      <c r="J12" s="5" t="s">
        <v>40</v>
      </c>
      <c r="K12" s="5" t="s">
        <v>24</v>
      </c>
      <c r="L12" s="5" t="s">
        <v>25</v>
      </c>
      <c r="M12" s="7">
        <v>6</v>
      </c>
      <c r="N12" s="15">
        <v>46093</v>
      </c>
      <c r="O12" s="49">
        <f t="shared" ca="1" si="0"/>
        <v>110.65986111109669</v>
      </c>
      <c r="P12" s="12" t="s">
        <v>90</v>
      </c>
    </row>
    <row r="13" spans="1:16" ht="16" x14ac:dyDescent="0.2">
      <c r="A13" t="s">
        <v>91</v>
      </c>
      <c r="B13" s="1" t="s">
        <v>92</v>
      </c>
      <c r="C13" s="2">
        <v>46071.830856481502</v>
      </c>
      <c r="D13" s="5" t="s">
        <v>93</v>
      </c>
      <c r="E13" s="43" t="s">
        <v>94</v>
      </c>
      <c r="F13" s="5" t="s">
        <v>95</v>
      </c>
      <c r="G13" s="25">
        <v>45978.690509259301</v>
      </c>
      <c r="H13" s="5" t="s">
        <v>96</v>
      </c>
      <c r="I13" s="5" t="s">
        <v>22</v>
      </c>
      <c r="J13" s="5" t="s">
        <v>23</v>
      </c>
      <c r="K13" s="5" t="s">
        <v>24</v>
      </c>
      <c r="L13" s="5" t="s">
        <v>25</v>
      </c>
      <c r="M13" s="7">
        <v>7.5</v>
      </c>
      <c r="N13" s="15">
        <v>46072</v>
      </c>
      <c r="O13" s="49">
        <f t="shared" ca="1" si="0"/>
        <v>94.309490740699403</v>
      </c>
      <c r="P13" s="8" t="s">
        <v>23</v>
      </c>
    </row>
    <row r="14" spans="1:16" ht="16" x14ac:dyDescent="0.2">
      <c r="D14" s="5" t="s">
        <v>97</v>
      </c>
      <c r="E14" s="5" t="s">
        <v>29</v>
      </c>
      <c r="F14" s="5" t="s">
        <v>98</v>
      </c>
      <c r="G14" s="25">
        <v>46071.845138888886</v>
      </c>
      <c r="H14" s="5" t="s">
        <v>99</v>
      </c>
      <c r="I14" s="5" t="s">
        <v>32</v>
      </c>
      <c r="J14" s="5" t="s">
        <v>23</v>
      </c>
      <c r="K14" s="5" t="s">
        <v>24</v>
      </c>
      <c r="L14" s="5" t="s">
        <v>25</v>
      </c>
      <c r="M14" s="7">
        <v>0</v>
      </c>
      <c r="N14" s="15">
        <v>46080</v>
      </c>
      <c r="O14" s="49">
        <f t="shared" ca="1" si="0"/>
        <v>9.1548611111138598</v>
      </c>
      <c r="P14" s="12" t="s">
        <v>23</v>
      </c>
    </row>
    <row r="15" spans="1:16" ht="16" x14ac:dyDescent="0.2">
      <c r="D15" s="5" t="s">
        <v>100</v>
      </c>
      <c r="E15" s="40" t="s">
        <v>19</v>
      </c>
      <c r="F15" s="6" t="s">
        <v>20</v>
      </c>
      <c r="G15" s="26">
        <v>46064</v>
      </c>
      <c r="H15" s="5" t="s">
        <v>101</v>
      </c>
      <c r="I15" s="5" t="s">
        <v>22</v>
      </c>
      <c r="J15" s="5" t="s">
        <v>23</v>
      </c>
      <c r="K15" s="5" t="s">
        <v>24</v>
      </c>
      <c r="L15" s="5" t="s">
        <v>25</v>
      </c>
      <c r="M15" s="7">
        <v>1</v>
      </c>
      <c r="N15" s="15">
        <v>46066</v>
      </c>
      <c r="O15" s="49">
        <f t="shared" ca="1" si="0"/>
        <v>3</v>
      </c>
      <c r="P15" s="8" t="s">
        <v>23</v>
      </c>
    </row>
    <row r="16" spans="1:16" ht="16" x14ac:dyDescent="0.2">
      <c r="D16" s="5" t="s">
        <v>102</v>
      </c>
      <c r="E16" s="5" t="s">
        <v>60</v>
      </c>
      <c r="F16" s="5" t="s">
        <v>61</v>
      </c>
      <c r="G16" s="26">
        <v>46066</v>
      </c>
      <c r="H16" s="5" t="s">
        <v>103</v>
      </c>
      <c r="I16" s="5" t="s">
        <v>22</v>
      </c>
      <c r="J16" s="5" t="s">
        <v>23</v>
      </c>
      <c r="K16" s="5" t="s">
        <v>24</v>
      </c>
      <c r="L16" s="5" t="s">
        <v>25</v>
      </c>
      <c r="M16" s="7">
        <v>1.5</v>
      </c>
      <c r="N16" s="15">
        <v>46071</v>
      </c>
      <c r="O16" s="49">
        <f t="shared" ca="1" si="0"/>
        <v>6</v>
      </c>
      <c r="P16" s="8" t="s">
        <v>23</v>
      </c>
    </row>
    <row r="17" spans="1:16" ht="16" x14ac:dyDescent="0.2">
      <c r="D17" s="5" t="s">
        <v>104</v>
      </c>
      <c r="E17" s="5" t="s">
        <v>60</v>
      </c>
      <c r="F17" s="5" t="s">
        <v>61</v>
      </c>
      <c r="G17" s="25">
        <v>46073.327777777777</v>
      </c>
      <c r="H17" s="5" t="s">
        <v>105</v>
      </c>
      <c r="I17" s="5" t="s">
        <v>63</v>
      </c>
      <c r="J17" s="5" t="s">
        <v>23</v>
      </c>
      <c r="K17" s="5" t="s">
        <v>24</v>
      </c>
      <c r="L17" s="5" t="s">
        <v>25</v>
      </c>
      <c r="M17" s="7">
        <v>0</v>
      </c>
      <c r="N17" s="15">
        <v>46079</v>
      </c>
      <c r="O17" s="49">
        <f t="shared" ca="1" si="0"/>
        <v>6.672222222223354</v>
      </c>
      <c r="P17" s="12" t="s">
        <v>23</v>
      </c>
    </row>
    <row r="18" spans="1:16" ht="32" x14ac:dyDescent="0.2">
      <c r="D18" s="5" t="s">
        <v>106</v>
      </c>
      <c r="E18" s="5" t="s">
        <v>36</v>
      </c>
      <c r="F18" s="5" t="s">
        <v>37</v>
      </c>
      <c r="G18" s="25">
        <v>46077.92291666667</v>
      </c>
      <c r="H18" s="24" t="s">
        <v>107</v>
      </c>
      <c r="I18" s="5"/>
      <c r="J18" s="5" t="s">
        <v>23</v>
      </c>
      <c r="K18" s="5"/>
      <c r="L18" s="5" t="s">
        <v>41</v>
      </c>
      <c r="M18" s="7">
        <v>0</v>
      </c>
      <c r="N18" s="15">
        <v>46079</v>
      </c>
      <c r="O18" s="49">
        <f t="shared" ca="1" si="0"/>
        <v>2.0770833333299379</v>
      </c>
      <c r="P18" s="12" t="s">
        <v>23</v>
      </c>
    </row>
    <row r="19" spans="1:16" ht="16" x14ac:dyDescent="0.2">
      <c r="D19" s="11" t="s">
        <v>108</v>
      </c>
      <c r="E19" s="5" t="s">
        <v>60</v>
      </c>
      <c r="F19" s="5" t="s">
        <v>61</v>
      </c>
      <c r="G19" s="25">
        <v>46079.380555555559</v>
      </c>
      <c r="H19" s="5" t="s">
        <v>109</v>
      </c>
      <c r="I19" s="5" t="s">
        <v>63</v>
      </c>
      <c r="J19" s="5" t="s">
        <v>40</v>
      </c>
      <c r="K19" s="5" t="s">
        <v>24</v>
      </c>
      <c r="L19" s="5" t="s">
        <v>25</v>
      </c>
      <c r="M19" s="7"/>
      <c r="N19" s="15">
        <v>46093</v>
      </c>
      <c r="O19" s="49">
        <f t="shared" ca="1" si="0"/>
        <v>17.619444444440887</v>
      </c>
      <c r="P19" s="12" t="s">
        <v>110</v>
      </c>
    </row>
    <row r="20" spans="1:16" ht="16" x14ac:dyDescent="0.2">
      <c r="D20" s="27" t="s">
        <v>111</v>
      </c>
      <c r="E20" s="27" t="s">
        <v>60</v>
      </c>
      <c r="F20" s="27" t="s">
        <v>61</v>
      </c>
      <c r="G20" s="28">
        <v>46080.462500000001</v>
      </c>
      <c r="H20" s="27" t="s">
        <v>112</v>
      </c>
      <c r="I20" s="27" t="s">
        <v>22</v>
      </c>
      <c r="J20" s="27" t="s">
        <v>40</v>
      </c>
      <c r="K20" s="27" t="s">
        <v>24</v>
      </c>
      <c r="L20" s="27" t="s">
        <v>25</v>
      </c>
      <c r="M20" s="29">
        <v>3</v>
      </c>
      <c r="N20" s="52">
        <v>46094</v>
      </c>
      <c r="O20" s="53">
        <f t="shared" ca="1" si="0"/>
        <v>16.537499999998545</v>
      </c>
      <c r="P20" s="62" t="s">
        <v>113</v>
      </c>
    </row>
    <row r="21" spans="1:16" x14ac:dyDescent="0.2">
      <c r="A21" s="1"/>
      <c r="C21" s="1"/>
      <c r="D21" s="31" t="s">
        <v>114</v>
      </c>
      <c r="E21" s="31" t="s">
        <v>115</v>
      </c>
      <c r="F21" s="31" t="s">
        <v>116</v>
      </c>
      <c r="G21" s="22">
        <v>46083.359027777777</v>
      </c>
      <c r="H21" s="31" t="s">
        <v>117</v>
      </c>
      <c r="I21" s="31" t="s">
        <v>22</v>
      </c>
      <c r="J21" s="31" t="s">
        <v>40</v>
      </c>
      <c r="K21" s="31" t="s">
        <v>24</v>
      </c>
      <c r="L21" s="31" t="s">
        <v>25</v>
      </c>
      <c r="M21" s="32"/>
      <c r="N21" s="21">
        <v>46093</v>
      </c>
      <c r="O21" s="53">
        <f t="shared" ca="1" si="0"/>
        <v>13.640972222223354</v>
      </c>
      <c r="P21" s="38" t="s">
        <v>118</v>
      </c>
    </row>
    <row r="22" spans="1:16" x14ac:dyDescent="0.2">
      <c r="D22" s="5" t="s">
        <v>119</v>
      </c>
      <c r="E22" s="5" t="s">
        <v>120</v>
      </c>
      <c r="F22" s="5" t="s">
        <v>121</v>
      </c>
      <c r="G22" s="25">
        <v>46084.825694444444</v>
      </c>
      <c r="H22" s="5" t="s">
        <v>122</v>
      </c>
      <c r="I22" s="5" t="s">
        <v>123</v>
      </c>
      <c r="J22" s="5" t="s">
        <v>23</v>
      </c>
      <c r="K22" s="5" t="s">
        <v>24</v>
      </c>
      <c r="L22" s="5" t="s">
        <v>25</v>
      </c>
      <c r="M22" s="7">
        <v>0.75</v>
      </c>
      <c r="N22" s="15">
        <v>46085</v>
      </c>
      <c r="O22" s="49">
        <f t="shared" ca="1" si="0"/>
        <v>1.1743055555562023</v>
      </c>
      <c r="P22" s="8"/>
    </row>
    <row r="23" spans="1:16" ht="16" x14ac:dyDescent="0.2">
      <c r="D23" s="5" t="s">
        <v>124</v>
      </c>
      <c r="E23" s="5" t="s">
        <v>60</v>
      </c>
      <c r="F23" s="5" t="s">
        <v>61</v>
      </c>
      <c r="G23" s="25">
        <v>46085.878472222219</v>
      </c>
      <c r="H23" s="5" t="s">
        <v>125</v>
      </c>
      <c r="I23" s="5" t="s">
        <v>22</v>
      </c>
      <c r="J23" s="5" t="s">
        <v>40</v>
      </c>
      <c r="K23" s="5" t="s">
        <v>24</v>
      </c>
      <c r="L23" s="5" t="s">
        <v>25</v>
      </c>
      <c r="M23" s="7">
        <v>1</v>
      </c>
      <c r="N23" s="15">
        <v>46094</v>
      </c>
      <c r="O23" s="49">
        <f t="shared" ca="1" si="0"/>
        <v>11.121527777781012</v>
      </c>
      <c r="P23" s="12" t="s">
        <v>126</v>
      </c>
    </row>
    <row r="24" spans="1:16" ht="32" x14ac:dyDescent="0.2">
      <c r="D24" s="5" t="s">
        <v>127</v>
      </c>
      <c r="E24" s="5" t="s">
        <v>120</v>
      </c>
      <c r="F24" s="5" t="s">
        <v>121</v>
      </c>
      <c r="G24" s="25">
        <v>46085.774305555555</v>
      </c>
      <c r="H24" s="24" t="s">
        <v>128</v>
      </c>
      <c r="I24" s="11" t="s">
        <v>123</v>
      </c>
      <c r="J24" s="5" t="s">
        <v>40</v>
      </c>
      <c r="K24" s="5" t="s">
        <v>24</v>
      </c>
      <c r="L24" s="5" t="s">
        <v>25</v>
      </c>
      <c r="M24" s="7"/>
      <c r="N24" s="15">
        <v>46093</v>
      </c>
      <c r="O24" s="49">
        <f t="shared" ca="1" si="0"/>
        <v>11.225694444445253</v>
      </c>
      <c r="P24" s="12" t="s">
        <v>129</v>
      </c>
    </row>
    <row r="25" spans="1:16" ht="16" x14ac:dyDescent="0.2">
      <c r="D25" s="5" t="s">
        <v>130</v>
      </c>
      <c r="E25" s="5" t="s">
        <v>94</v>
      </c>
      <c r="F25" s="5" t="s">
        <v>131</v>
      </c>
      <c r="G25" s="25">
        <v>46086.362500000003</v>
      </c>
      <c r="H25" s="5" t="s">
        <v>132</v>
      </c>
      <c r="I25" s="5" t="s">
        <v>22</v>
      </c>
      <c r="J25" s="5" t="s">
        <v>23</v>
      </c>
      <c r="K25" s="5" t="s">
        <v>24</v>
      </c>
      <c r="L25" s="5" t="s">
        <v>25</v>
      </c>
      <c r="M25" s="7">
        <v>1</v>
      </c>
      <c r="N25" s="15">
        <v>46087</v>
      </c>
      <c r="O25" s="49">
        <f t="shared" ca="1" si="0"/>
        <v>1.6374999999970896</v>
      </c>
      <c r="P25" s="8" t="s">
        <v>23</v>
      </c>
    </row>
    <row r="26" spans="1:16" ht="16" x14ac:dyDescent="0.2">
      <c r="D26" s="5" t="s">
        <v>133</v>
      </c>
      <c r="E26" s="5" t="s">
        <v>60</v>
      </c>
      <c r="F26" s="5" t="s">
        <v>61</v>
      </c>
      <c r="G26" s="25">
        <v>46086.684027777781</v>
      </c>
      <c r="H26" s="5" t="s">
        <v>134</v>
      </c>
      <c r="I26" s="5" t="s">
        <v>22</v>
      </c>
      <c r="J26" s="5" t="s">
        <v>23</v>
      </c>
      <c r="K26" s="5" t="s">
        <v>24</v>
      </c>
      <c r="L26" s="5" t="s">
        <v>25</v>
      </c>
      <c r="M26" s="7">
        <v>1</v>
      </c>
      <c r="N26" s="15">
        <v>46086</v>
      </c>
      <c r="O26" s="49">
        <f t="shared" ca="1" si="0"/>
        <v>0.31597222221898846</v>
      </c>
      <c r="P26" s="8" t="s">
        <v>56</v>
      </c>
    </row>
    <row r="27" spans="1:16" ht="16" x14ac:dyDescent="0.2">
      <c r="D27" s="5" t="s">
        <v>135</v>
      </c>
      <c r="E27" s="5" t="s">
        <v>136</v>
      </c>
      <c r="F27" s="5" t="s">
        <v>137</v>
      </c>
      <c r="G27" s="25">
        <v>46086.661111111112</v>
      </c>
      <c r="H27" s="5" t="s">
        <v>138</v>
      </c>
      <c r="I27" s="5" t="s">
        <v>22</v>
      </c>
      <c r="J27" s="5" t="s">
        <v>40</v>
      </c>
      <c r="K27" s="5" t="s">
        <v>24</v>
      </c>
      <c r="L27" s="5" t="s">
        <v>25</v>
      </c>
      <c r="M27" s="7">
        <v>12</v>
      </c>
      <c r="N27" s="15">
        <v>46093</v>
      </c>
      <c r="O27" s="49">
        <f t="shared" ca="1" si="0"/>
        <v>10.338888888887595</v>
      </c>
      <c r="P27" s="12" t="s">
        <v>139</v>
      </c>
    </row>
    <row r="28" spans="1:16" ht="16" x14ac:dyDescent="0.2">
      <c r="D28" s="5" t="s">
        <v>140</v>
      </c>
      <c r="E28" s="5" t="s">
        <v>141</v>
      </c>
      <c r="F28" s="5" t="s">
        <v>142</v>
      </c>
      <c r="G28" s="25">
        <v>46090.521527777775</v>
      </c>
      <c r="H28" s="5" t="s">
        <v>143</v>
      </c>
      <c r="I28" s="5" t="s">
        <v>22</v>
      </c>
      <c r="J28" s="5" t="s">
        <v>23</v>
      </c>
      <c r="K28" s="5" t="s">
        <v>24</v>
      </c>
      <c r="L28" s="5" t="s">
        <v>41</v>
      </c>
      <c r="M28" s="7">
        <v>1</v>
      </c>
      <c r="N28" s="15">
        <v>46094</v>
      </c>
      <c r="O28" s="49">
        <f t="shared" ca="1" si="0"/>
        <v>4.4784722222248092</v>
      </c>
      <c r="P28" s="12" t="s">
        <v>23</v>
      </c>
    </row>
    <row r="29" spans="1:16" ht="16" x14ac:dyDescent="0.2">
      <c r="D29" s="5" t="s">
        <v>144</v>
      </c>
      <c r="E29" s="5" t="s">
        <v>29</v>
      </c>
      <c r="F29" s="5" t="s">
        <v>98</v>
      </c>
      <c r="G29" s="25">
        <v>46091.606944444444</v>
      </c>
      <c r="H29" s="5" t="s">
        <v>145</v>
      </c>
      <c r="I29" s="5" t="s">
        <v>146</v>
      </c>
      <c r="J29" s="5" t="s">
        <v>40</v>
      </c>
      <c r="K29" s="5" t="s">
        <v>24</v>
      </c>
      <c r="L29" s="5" t="s">
        <v>25</v>
      </c>
      <c r="M29" s="7"/>
      <c r="N29" s="15">
        <v>46093</v>
      </c>
      <c r="O29" s="49">
        <f t="shared" ca="1" si="0"/>
        <v>5.3930555555562023</v>
      </c>
      <c r="P29" s="12" t="s">
        <v>147</v>
      </c>
    </row>
    <row r="30" spans="1:16" ht="16" x14ac:dyDescent="0.2">
      <c r="D30" s="5" t="s">
        <v>148</v>
      </c>
      <c r="E30" s="5" t="s">
        <v>82</v>
      </c>
      <c r="F30" s="5" t="s">
        <v>83</v>
      </c>
      <c r="G30" s="25">
        <v>46091.525694444441</v>
      </c>
      <c r="H30" s="5" t="s">
        <v>149</v>
      </c>
      <c r="I30" s="5" t="s">
        <v>22</v>
      </c>
      <c r="J30" s="5" t="s">
        <v>40</v>
      </c>
      <c r="K30" s="5" t="s">
        <v>24</v>
      </c>
      <c r="L30" s="5" t="s">
        <v>25</v>
      </c>
      <c r="M30" s="7"/>
      <c r="N30" s="15">
        <v>46093</v>
      </c>
      <c r="O30" s="49">
        <f t="shared" ca="1" si="0"/>
        <v>5.4743055555591127</v>
      </c>
      <c r="P30" s="12" t="s">
        <v>150</v>
      </c>
    </row>
    <row r="31" spans="1:16" ht="32" x14ac:dyDescent="0.2">
      <c r="D31" s="5" t="s">
        <v>151</v>
      </c>
      <c r="E31" s="5" t="s">
        <v>94</v>
      </c>
      <c r="F31" s="5" t="s">
        <v>131</v>
      </c>
      <c r="G31" s="25">
        <v>46091.384722222225</v>
      </c>
      <c r="H31" s="5" t="s">
        <v>152</v>
      </c>
      <c r="I31" s="5" t="s">
        <v>153</v>
      </c>
      <c r="J31" s="5" t="s">
        <v>40</v>
      </c>
      <c r="K31" s="5" t="s">
        <v>24</v>
      </c>
      <c r="L31" s="5" t="s">
        <v>25</v>
      </c>
      <c r="M31" s="7"/>
      <c r="N31" s="15">
        <v>46093</v>
      </c>
      <c r="O31" s="49">
        <f t="shared" ca="1" si="0"/>
        <v>5.6152777777751908</v>
      </c>
      <c r="P31" s="12" t="s">
        <v>154</v>
      </c>
    </row>
    <row r="32" spans="1:16" ht="16" x14ac:dyDescent="0.2">
      <c r="D32" s="5" t="s">
        <v>155</v>
      </c>
      <c r="E32" s="5" t="s">
        <v>94</v>
      </c>
      <c r="F32" s="5" t="s">
        <v>95</v>
      </c>
      <c r="G32" s="25">
        <v>46091.634722222225</v>
      </c>
      <c r="H32" s="5" t="s">
        <v>156</v>
      </c>
      <c r="I32" s="5" t="s">
        <v>22</v>
      </c>
      <c r="J32" s="5" t="s">
        <v>23</v>
      </c>
      <c r="K32" s="5" t="s">
        <v>24</v>
      </c>
      <c r="L32" s="5" t="s">
        <v>25</v>
      </c>
      <c r="M32" s="7">
        <v>2.5</v>
      </c>
      <c r="N32" s="15">
        <v>46092</v>
      </c>
      <c r="O32" s="49">
        <f ca="1">IF(J32="Closed", N32-G32+1, TODAY()-G32+1)</f>
        <v>1.3652777777751908</v>
      </c>
      <c r="P32" s="8" t="s">
        <v>23</v>
      </c>
    </row>
    <row r="33" spans="4:16" ht="16" x14ac:dyDescent="0.2">
      <c r="D33" s="27" t="s">
        <v>157</v>
      </c>
      <c r="E33" s="5" t="s">
        <v>60</v>
      </c>
      <c r="F33" s="5" t="s">
        <v>61</v>
      </c>
      <c r="G33" s="25">
        <v>46092.744444444441</v>
      </c>
      <c r="H33" s="5" t="s">
        <v>158</v>
      </c>
      <c r="I33" s="5" t="s">
        <v>63</v>
      </c>
      <c r="J33" s="5" t="s">
        <v>40</v>
      </c>
      <c r="K33" s="5" t="s">
        <v>24</v>
      </c>
      <c r="L33" s="5" t="s">
        <v>25</v>
      </c>
      <c r="M33" s="7"/>
      <c r="N33" s="15">
        <v>46093</v>
      </c>
      <c r="O33" s="49">
        <f ca="1">IF(J33="Closed", N33-G33+1, TODAY()-G33+1)</f>
        <v>4.2555555555591127</v>
      </c>
      <c r="P33" s="12" t="s">
        <v>159</v>
      </c>
    </row>
    <row r="34" spans="4:16" ht="16" x14ac:dyDescent="0.2">
      <c r="D34" s="5" t="s">
        <v>160</v>
      </c>
      <c r="E34" s="5" t="s">
        <v>136</v>
      </c>
      <c r="F34" s="5" t="s">
        <v>137</v>
      </c>
      <c r="G34" s="25">
        <v>46092.767361111109</v>
      </c>
      <c r="H34" s="5" t="s">
        <v>161</v>
      </c>
      <c r="I34" s="5" t="s">
        <v>22</v>
      </c>
      <c r="J34" s="5" t="s">
        <v>40</v>
      </c>
      <c r="K34" s="5" t="s">
        <v>24</v>
      </c>
      <c r="L34" s="5" t="s">
        <v>25</v>
      </c>
      <c r="M34" s="7"/>
      <c r="N34" s="15">
        <v>46093</v>
      </c>
      <c r="O34" s="49">
        <f ca="1">IF(J34="Closed", N34-G34+1, TODAY()-G34+1)</f>
        <v>4.2326388888905058</v>
      </c>
      <c r="P34" s="12" t="s">
        <v>162</v>
      </c>
    </row>
    <row r="35" spans="4:16" ht="16" x14ac:dyDescent="0.2">
      <c r="D35" s="5" t="s">
        <v>163</v>
      </c>
      <c r="E35" s="5" t="s">
        <v>60</v>
      </c>
      <c r="F35" s="5" t="s">
        <v>61</v>
      </c>
      <c r="G35" s="25">
        <v>46094.37222222222</v>
      </c>
      <c r="H35" s="5" t="s">
        <v>164</v>
      </c>
      <c r="I35" s="5" t="s">
        <v>22</v>
      </c>
      <c r="J35" s="5" t="s">
        <v>40</v>
      </c>
      <c r="K35" s="5" t="s">
        <v>24</v>
      </c>
      <c r="L35" s="5" t="s">
        <v>25</v>
      </c>
      <c r="M35" s="7">
        <v>1</v>
      </c>
      <c r="N35" s="15">
        <v>46094</v>
      </c>
      <c r="O35" s="49">
        <f ca="1">IF(J35="Closed", N35-G35+1, TODAY()-G35+1)</f>
        <v>2.6277777777795563</v>
      </c>
      <c r="P35" s="8" t="s">
        <v>147</v>
      </c>
    </row>
    <row r="40" spans="4:16" x14ac:dyDescent="0.2">
      <c r="F40" s="63"/>
    </row>
  </sheetData>
  <dataValidations xWindow="1420" yWindow="390" count="9">
    <dataValidation type="date" operator="greaterThanOrEqual" allowBlank="1" showInputMessage="1" showErrorMessage="1" errorTitle="Invalid Date" error="(Do Not Modify) Modified On must be in the correct date and time format." promptTitle="Date and time" prompt=" " sqref="C2:C20 C22:C1048576" xr:uid="{00000000-0002-0000-0000-000000000000}">
      <formula1>1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:D1048576 A21" xr:uid="{00000000-0002-0000-0000-000001000000}">
      <formula1>100</formula1>
    </dataValidation>
    <dataValidation allowBlank="1" showInputMessage="1" showErrorMessage="1" error=" " promptTitle="Lookup" prompt="This Contact record must already exist in Microsoft Dynamics 365 or in this source file." sqref="F2:F1048576 C21" xr:uid="{00000000-0002-0000-0000-000003000000}"/>
    <dataValidation type="textLength" operator="lessThanOrEqual" showInputMessage="1" showErrorMessage="1" errorTitle="Length Exceeded" error="This value must be less than or equal to 850 characters long." promptTitle="Text (required)" prompt="Maximum Length: 850 characters." sqref="H2:H1048576" xr:uid="{00000000-0002-0000-0000-000005000000}">
      <formula1>850</formula1>
    </dataValidation>
    <dataValidation showInputMessage="1" showErrorMessage="1" error=" " promptTitle="Lookup (required)" prompt="This Country (Customer) (Account) record must already exist in Microsoft Dynamics 365 or in this source file." sqref="L2:L1048576" xr:uid="{00000000-0002-0000-0000-000009000000}"/>
    <dataValidation type="decimal" allowBlank="1" showInputMessage="1" showErrorMessage="1" errorTitle="Value beyond range" error="Billable Duration must be a number from -100000000000 through 100000000000." promptTitle="Decimal number" prompt="Minimum Value: -100000000000._x000d__x000a_Maximum Value: 100000000000._x000d__x000a_  " sqref="M21:N1048576 M2:O20 O21" xr:uid="{00000000-0002-0000-0000-00000A000000}">
      <formula1>-100000000000</formula1>
      <formula2>100000000000</formula2>
    </dataValidation>
    <dataValidation type="date" operator="greaterThanOrEqual" allowBlank="1" showInputMessage="1" showErrorMessage="1" errorTitle="Invalid Date" error="Created On must be in the correct date and time format." promptTitle="Date and time" prompt=" " sqref="G2:G14 F15 G17:G1048576" xr:uid="{00000000-0002-0000-0000-000004000000}">
      <formula1>1</formula1>
    </dataValidation>
    <dataValidation allowBlank="1" showInputMessage="1" showErrorMessage="1" error=" " promptTitle="Lookup" prompt="This Support Agent record must already exist in Microsoft Dynamics 365 or in this source file." sqref="I2:I14 G15:G16 I17:I1048576" xr:uid="{00000000-0002-0000-0000-000006000000}"/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H16 E2 E10 E12 E14:E1048576 B21" xr:uid="{00000000-0002-0000-0000-000002000000}">
      <formula1>100</formula1>
    </dataValidation>
  </dataValidations>
  <pageMargins left="0.7" right="0.7" top="0.75" bottom="0.75" header="0.3" footer="0.3"/>
  <ignoredErrors>
    <ignoredError sqref="J1:J4 J36:J1048576 J6 J10 J8 J13 J15:J16" listDataValidation="1"/>
  </ignoredErrors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xWindow="1420" yWindow="390" count="2">
        <x14:dataValidation type="list" allowBlank="1" showInputMessage="1" showErrorMessage="1" errorTitle="List Value" error="Status Reason must be selected from the drop-down list." promptTitle="Option set" prompt="Select a value from the drop-down list." xr:uid="{00000000-0002-0000-0000-000007000000}">
          <x14:formula1>
            <xm:f>hiddenSheet!$A$2:$N$2</xm:f>
          </x14:formula1>
          <xm:sqref>J2:J1048576</xm:sqref>
        </x14:dataValidation>
        <x14:dataValidation type="list" allowBlank="1" showInputMessage="1" showErrorMessage="1" errorTitle="List Value" error="Priority must be selected from the drop-down list." promptTitle="Option set" prompt="Select a value from the drop-down list." xr:uid="{00000000-0002-0000-0000-000008000000}">
          <x14:formula1>
            <xm:f>hiddenSheet!$A$3:$D$3</xm:f>
          </x14:formula1>
          <xm:sqref>K2:K1048576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891F-8298-4B26-8B1B-33E8388788D7}">
  <dimension ref="A1:M20"/>
  <sheetViews>
    <sheetView zoomScale="125" zoomScaleNormal="74" workbookViewId="0">
      <selection activeCell="G26" sqref="G26"/>
    </sheetView>
  </sheetViews>
  <sheetFormatPr baseColWidth="10" defaultColWidth="8.83203125" defaultRowHeight="15" x14ac:dyDescent="0.2"/>
  <cols>
    <col min="1" max="1" width="13.83203125" customWidth="1"/>
    <col min="2" max="2" width="23.5" customWidth="1"/>
    <col min="3" max="3" width="17.33203125" customWidth="1"/>
    <col min="4" max="4" width="19" style="30" customWidth="1"/>
    <col min="5" max="5" width="28.83203125" customWidth="1"/>
    <col min="6" max="6" width="14.83203125" customWidth="1"/>
    <col min="7" max="7" width="14" customWidth="1"/>
    <col min="8" max="8" width="10.1640625" bestFit="1" customWidth="1"/>
    <col min="9" max="9" width="8.1640625" customWidth="1"/>
    <col min="10" max="10" width="14.33203125" customWidth="1"/>
    <col min="11" max="11" width="11.1640625" style="13" bestFit="1" customWidth="1"/>
    <col min="12" max="12" width="11.1640625" style="34" customWidth="1"/>
    <col min="13" max="13" width="15" customWidth="1"/>
  </cols>
  <sheetData>
    <row r="1" spans="1:13" ht="16.5" customHeight="1" x14ac:dyDescent="0.2">
      <c r="A1" s="18" t="s">
        <v>3</v>
      </c>
      <c r="B1" s="18" t="s">
        <v>4</v>
      </c>
      <c r="C1" s="18" t="s">
        <v>5</v>
      </c>
      <c r="D1" s="46" t="s">
        <v>6</v>
      </c>
      <c r="E1" s="18" t="s">
        <v>7</v>
      </c>
      <c r="F1" s="18" t="s">
        <v>8</v>
      </c>
      <c r="G1" s="18" t="s">
        <v>9</v>
      </c>
      <c r="H1" s="18" t="s">
        <v>10</v>
      </c>
      <c r="I1" s="18" t="s">
        <v>11</v>
      </c>
      <c r="J1" s="18" t="s">
        <v>12</v>
      </c>
      <c r="K1" s="19" t="s">
        <v>13</v>
      </c>
      <c r="L1" s="37" t="s">
        <v>14</v>
      </c>
      <c r="M1" s="20" t="s">
        <v>15</v>
      </c>
    </row>
    <row r="2" spans="1:13" x14ac:dyDescent="0.2">
      <c r="A2" s="4" t="str" cm="1">
        <f t="array" aca="1" ref="A2:L20" ca="1">_xlfn._xlws.FILTER(All_Tickets!D:O, All_Tickets!J:J="Closed", "No Closed Tickets")</f>
        <v>DS-73092-D1Z1</v>
      </c>
      <c r="B2" s="4" t="str">
        <f ca="1"/>
        <v>Q4 Services Inc.</v>
      </c>
      <c r="C2" s="4" t="str">
        <f ca="1"/>
        <v>Berta Alday</v>
      </c>
      <c r="D2" s="21">
        <f ca="1"/>
        <v>46069.338391203702</v>
      </c>
      <c r="E2" s="4" t="str">
        <f ca="1"/>
        <v>Job Task Dimension error</v>
      </c>
      <c r="F2" s="4" t="str">
        <f ca="1"/>
        <v>Swaraj Kalsi</v>
      </c>
      <c r="G2" s="4" t="str">
        <f ca="1"/>
        <v>Closed</v>
      </c>
      <c r="H2" s="4" t="str">
        <f ca="1"/>
        <v>Normal - P2</v>
      </c>
      <c r="I2" s="4" t="str">
        <f ca="1"/>
        <v>USA</v>
      </c>
      <c r="J2" s="4">
        <f ca="1"/>
        <v>1</v>
      </c>
      <c r="K2" s="22">
        <f ca="1"/>
        <v>46072</v>
      </c>
      <c r="L2" s="33">
        <f ca="1"/>
        <v>3.6616087962975143</v>
      </c>
      <c r="M2" s="31"/>
    </row>
    <row r="3" spans="1:13" x14ac:dyDescent="0.2">
      <c r="A3" s="4" t="str">
        <f ca="1"/>
        <v>DS-72756-M1Y0</v>
      </c>
      <c r="B3" s="4" t="str">
        <f ca="1"/>
        <v>Step by Step INC.</v>
      </c>
      <c r="C3" s="4" t="str">
        <f ca="1"/>
        <v>Cynthia Sherrill</v>
      </c>
      <c r="D3" s="21">
        <f ca="1"/>
        <v>46065.6482986111</v>
      </c>
      <c r="E3" s="4" t="str">
        <f ca="1"/>
        <v>Admin change notice BC</v>
      </c>
      <c r="F3" s="4" t="str">
        <f ca="1"/>
        <v>Nikita Bhosale</v>
      </c>
      <c r="G3" s="4" t="str">
        <f ca="1"/>
        <v>Closed</v>
      </c>
      <c r="H3" s="4" t="str">
        <f ca="1"/>
        <v>Normal - P2</v>
      </c>
      <c r="I3" s="4" t="str">
        <f ca="1"/>
        <v>USA</v>
      </c>
      <c r="J3" s="4">
        <f ca="1"/>
        <v>0.5</v>
      </c>
      <c r="K3" s="22">
        <f ca="1"/>
        <v>46073</v>
      </c>
      <c r="L3" s="33">
        <f ca="1"/>
        <v>8.351701388899528</v>
      </c>
      <c r="M3" s="31"/>
    </row>
    <row r="4" spans="1:13" x14ac:dyDescent="0.2">
      <c r="A4" s="4" t="str">
        <f ca="1"/>
        <v>DS-71652-B6P1</v>
      </c>
      <c r="B4" s="4" t="str">
        <f ca="1"/>
        <v>Summit Net Trekker</v>
      </c>
      <c r="C4" s="4" t="str">
        <f ca="1"/>
        <v>Tania Kopystianskyj</v>
      </c>
      <c r="D4" s="21">
        <f ca="1"/>
        <v>46056.771423611099</v>
      </c>
      <c r="E4" s="4" t="str">
        <f ca="1"/>
        <v>help closing fiscal year</v>
      </c>
      <c r="F4" s="4" t="str">
        <f ca="1"/>
        <v>Swaraj Kalsi</v>
      </c>
      <c r="G4" s="4" t="str">
        <f ca="1"/>
        <v>Closed</v>
      </c>
      <c r="H4" s="4" t="str">
        <f ca="1"/>
        <v>Normal - P2</v>
      </c>
      <c r="I4" s="4" t="str">
        <f ca="1"/>
        <v>USA</v>
      </c>
      <c r="J4" s="4">
        <f ca="1"/>
        <v>0</v>
      </c>
      <c r="K4" s="22">
        <f ca="1"/>
        <v>46079</v>
      </c>
      <c r="L4" s="33">
        <f ca="1"/>
        <v>23.228576388901274</v>
      </c>
      <c r="M4" s="31"/>
    </row>
    <row r="5" spans="1:13" x14ac:dyDescent="0.2">
      <c r="A5" s="4" t="str">
        <f ca="1"/>
        <v>DS-71142-T5B7</v>
      </c>
      <c r="B5" s="4" t="str">
        <f ca="1"/>
        <v>Jedwards International, Inc.</v>
      </c>
      <c r="C5" s="4" t="str">
        <f ca="1"/>
        <v>Rich Hanson</v>
      </c>
      <c r="D5" s="21">
        <f ca="1"/>
        <v>46049.763472222199</v>
      </c>
      <c r="E5" s="4" t="str">
        <f ca="1"/>
        <v>Trello NV202 Development Environment cannot find sql server</v>
      </c>
      <c r="F5" s="4" t="str">
        <f ca="1"/>
        <v>Suresh Miglani(Freelancer)</v>
      </c>
      <c r="G5" s="4" t="str">
        <f ca="1"/>
        <v>Closed</v>
      </c>
      <c r="H5" s="4" t="str">
        <f ca="1"/>
        <v>Normal - P2</v>
      </c>
      <c r="I5" s="4" t="str">
        <f ca="1"/>
        <v>USA</v>
      </c>
      <c r="J5" s="4">
        <f ca="1"/>
        <v>7</v>
      </c>
      <c r="K5" s="22">
        <f ca="1"/>
        <v>46076</v>
      </c>
      <c r="L5" s="33">
        <f ca="1"/>
        <v>27.236527777800802</v>
      </c>
      <c r="M5" s="31"/>
    </row>
    <row r="6" spans="1:13" x14ac:dyDescent="0.2">
      <c r="A6" s="4" t="str">
        <f ca="1"/>
        <v>DS-70134-G6T7</v>
      </c>
      <c r="B6" s="4" t="str">
        <f ca="1"/>
        <v>Iridex Corporation</v>
      </c>
      <c r="C6" s="4" t="str">
        <f ca="1"/>
        <v>Brian Yates</v>
      </c>
      <c r="D6" s="21">
        <f ca="1"/>
        <v>46037.588900463001</v>
      </c>
      <c r="E6" s="4" t="str">
        <f ca="1"/>
        <v>Dynamic Square Bin Content All Items Template Request</v>
      </c>
      <c r="F6" s="4" t="str">
        <f ca="1"/>
        <v>Jay Desai</v>
      </c>
      <c r="G6" s="4" t="str">
        <f ca="1"/>
        <v>Closed</v>
      </c>
      <c r="H6" s="4" t="str">
        <f ca="1"/>
        <v>Normal - P2</v>
      </c>
      <c r="I6" s="4" t="str">
        <f ca="1"/>
        <v>USA</v>
      </c>
      <c r="J6" s="4">
        <f ca="1"/>
        <v>7</v>
      </c>
      <c r="K6" s="22">
        <f ca="1"/>
        <v>46079</v>
      </c>
      <c r="L6" s="33">
        <f ca="1"/>
        <v>42.411099536999245</v>
      </c>
      <c r="M6" s="31"/>
    </row>
    <row r="7" spans="1:13" x14ac:dyDescent="0.2">
      <c r="A7" s="4" t="str">
        <f ca="1"/>
        <v>DS-70132-J5X0</v>
      </c>
      <c r="B7" s="4" t="str">
        <f ca="1"/>
        <v>Summit Net Trekker</v>
      </c>
      <c r="C7" s="4" t="str">
        <f ca="1"/>
        <v>Tania Kopystianskyj</v>
      </c>
      <c r="D7" s="21">
        <f ca="1"/>
        <v>46037.566944444399</v>
      </c>
      <c r="E7" s="4" t="str">
        <f ca="1"/>
        <v>RE: 2025 Business central questions</v>
      </c>
      <c r="F7" s="4" t="str">
        <f ca="1"/>
        <v>Swaraj Kalsi</v>
      </c>
      <c r="G7" s="4" t="str">
        <f ca="1"/>
        <v>Closed</v>
      </c>
      <c r="H7" s="4" t="str">
        <f ca="1"/>
        <v>Normal - P2</v>
      </c>
      <c r="I7" s="4" t="str">
        <f ca="1"/>
        <v>USA</v>
      </c>
      <c r="J7" s="4">
        <f ca="1"/>
        <v>3</v>
      </c>
      <c r="K7" s="22">
        <f ca="1"/>
        <v>46076</v>
      </c>
      <c r="L7" s="33">
        <f ca="1"/>
        <v>39.433055555600731</v>
      </c>
      <c r="M7" s="31"/>
    </row>
    <row r="8" spans="1:13" x14ac:dyDescent="0.2">
      <c r="A8" s="4" t="str">
        <f ca="1"/>
        <v>DS-68839-W7K0</v>
      </c>
      <c r="B8" s="4" t="str">
        <f ca="1"/>
        <v>Iridex Corporation</v>
      </c>
      <c r="C8" s="4" t="str">
        <f ca="1"/>
        <v>Brian Yates</v>
      </c>
      <c r="D8" s="21">
        <f ca="1"/>
        <v>46021.6497453704</v>
      </c>
      <c r="E8" s="4" t="str">
        <f ca="1"/>
        <v>Generating cycle count tags</v>
      </c>
      <c r="F8" s="4" t="str">
        <f ca="1"/>
        <v>Jay Desai</v>
      </c>
      <c r="G8" s="4" t="str">
        <f ca="1"/>
        <v>Closed</v>
      </c>
      <c r="H8" s="4" t="str">
        <f ca="1"/>
        <v>Normal - P2</v>
      </c>
      <c r="I8" s="4" t="str">
        <f ca="1"/>
        <v>USA</v>
      </c>
      <c r="J8" s="4">
        <f ca="1"/>
        <v>2.75</v>
      </c>
      <c r="K8" s="22">
        <f ca="1"/>
        <v>46079</v>
      </c>
      <c r="L8" s="33">
        <f ca="1"/>
        <v>58.350254629600386</v>
      </c>
      <c r="M8" s="31"/>
    </row>
    <row r="9" spans="1:13" x14ac:dyDescent="0.2">
      <c r="A9" s="4" t="str">
        <f ca="1"/>
        <v>DS-68389-P5S3</v>
      </c>
      <c r="B9" s="4" t="str">
        <f ca="1"/>
        <v>Mexi Land Inc</v>
      </c>
      <c r="C9" s="4" t="str">
        <f ca="1"/>
        <v>Anthony Candelario</v>
      </c>
      <c r="D9" s="21">
        <f ca="1"/>
        <v>46009.644571759301</v>
      </c>
      <c r="E9" s="4" t="str">
        <f ca="1"/>
        <v>Printer selections page</v>
      </c>
      <c r="F9" s="4" t="str">
        <f ca="1"/>
        <v>Swaraj Kalsi</v>
      </c>
      <c r="G9" s="4" t="str">
        <f ca="1"/>
        <v>Closed</v>
      </c>
      <c r="H9" s="4" t="str">
        <f ca="1"/>
        <v>Normal - P2</v>
      </c>
      <c r="I9" s="4" t="str">
        <f ca="1"/>
        <v>USA</v>
      </c>
      <c r="J9" s="4">
        <f ca="1"/>
        <v>1.5</v>
      </c>
      <c r="K9" s="22">
        <f ca="1"/>
        <v>46080</v>
      </c>
      <c r="L9" s="33">
        <f ca="1"/>
        <v>71.355428240698529</v>
      </c>
      <c r="M9" s="31"/>
    </row>
    <row r="10" spans="1:13" x14ac:dyDescent="0.2">
      <c r="A10" s="4" t="str">
        <f ca="1"/>
        <v>DS-65512-R3W2</v>
      </c>
      <c r="B10" s="4" t="str">
        <f ca="1"/>
        <v>Truecare Biomedix</v>
      </c>
      <c r="C10" s="4" t="str">
        <f ca="1"/>
        <v>Rossanna Vanegas</v>
      </c>
      <c r="D10" s="21">
        <f ca="1"/>
        <v>45978.690509259301</v>
      </c>
      <c r="E10" s="4" t="str">
        <f ca="1"/>
        <v>API Addition - Shipment Method fields</v>
      </c>
      <c r="F10" s="4" t="str">
        <f ca="1"/>
        <v>Swaraj Kalsi</v>
      </c>
      <c r="G10" s="4" t="str">
        <f ca="1"/>
        <v>Closed</v>
      </c>
      <c r="H10" s="4" t="str">
        <f ca="1"/>
        <v>Normal - P2</v>
      </c>
      <c r="I10" s="4" t="str">
        <f ca="1"/>
        <v>USA</v>
      </c>
      <c r="J10" s="4">
        <f ca="1"/>
        <v>7.5</v>
      </c>
      <c r="K10" s="22">
        <f ca="1"/>
        <v>46072</v>
      </c>
      <c r="L10" s="33">
        <f ca="1"/>
        <v>94.309490740699403</v>
      </c>
      <c r="M10" s="4"/>
    </row>
    <row r="11" spans="1:13" x14ac:dyDescent="0.2">
      <c r="A11" s="4" t="str">
        <f ca="1"/>
        <v>DS-73464-G6W1</v>
      </c>
      <c r="B11" s="4" t="str">
        <f ca="1"/>
        <v>Step by Step INC.</v>
      </c>
      <c r="C11" s="4" t="str">
        <f ca="1"/>
        <v>Daniel Ripa</v>
      </c>
      <c r="D11" s="21">
        <f ca="1"/>
        <v>46071.845138888886</v>
      </c>
      <c r="E11" s="4" t="str">
        <f ca="1"/>
        <v>RE: Your environment Sandbox_13Dec2024 could not be updated</v>
      </c>
      <c r="F11" s="4" t="str">
        <f ca="1"/>
        <v>Nikita Bhosale</v>
      </c>
      <c r="G11" s="4" t="str">
        <f ca="1"/>
        <v>Closed</v>
      </c>
      <c r="H11" s="4" t="str">
        <f ca="1"/>
        <v>Normal - P2</v>
      </c>
      <c r="I11" s="4" t="str">
        <f ca="1"/>
        <v>USA</v>
      </c>
      <c r="J11" s="4">
        <f ca="1"/>
        <v>0</v>
      </c>
      <c r="K11" s="22">
        <f ca="1"/>
        <v>46080</v>
      </c>
      <c r="L11" s="33">
        <f ca="1"/>
        <v>9.1548611111138598</v>
      </c>
      <c r="M11" s="4"/>
    </row>
    <row r="12" spans="1:13" x14ac:dyDescent="0.2">
      <c r="A12" s="4" t="str">
        <f ca="1"/>
        <v>DS-72640-M9Z0</v>
      </c>
      <c r="B12" s="4" t="str">
        <f ca="1"/>
        <v>Q4 Services Inc.</v>
      </c>
      <c r="C12" s="4" t="str">
        <f ca="1"/>
        <v>Berta Alday</v>
      </c>
      <c r="D12" s="21">
        <f ca="1"/>
        <v>46064</v>
      </c>
      <c r="E12" s="4" t="str">
        <f ca="1"/>
        <v>Q4 Services - PO25-0977</v>
      </c>
      <c r="F12" s="4" t="str">
        <f ca="1"/>
        <v>Swaraj Kalsi</v>
      </c>
      <c r="G12" s="4" t="str">
        <f ca="1"/>
        <v>Closed</v>
      </c>
      <c r="H12" s="4" t="str">
        <f ca="1"/>
        <v>Normal - P2</v>
      </c>
      <c r="I12" s="4" t="str">
        <f ca="1"/>
        <v>USA</v>
      </c>
      <c r="J12" s="4">
        <f ca="1"/>
        <v>1</v>
      </c>
      <c r="K12" s="22">
        <f ca="1"/>
        <v>46066</v>
      </c>
      <c r="L12" s="33">
        <f ca="1"/>
        <v>3</v>
      </c>
      <c r="M12" s="4"/>
    </row>
    <row r="13" spans="1:13" x14ac:dyDescent="0.2">
      <c r="A13" s="4" t="str">
        <f ca="1"/>
        <v>DS-72998-K3C5</v>
      </c>
      <c r="B13" s="4" t="str">
        <f ca="1"/>
        <v>Iridex Corporation</v>
      </c>
      <c r="C13" s="4" t="str">
        <f ca="1"/>
        <v>Brian Yates</v>
      </c>
      <c r="D13" s="21">
        <f ca="1"/>
        <v>46066</v>
      </c>
      <c r="E13" s="4" t="str">
        <f ca="1"/>
        <v>Sales Order Not Calculating Sales Tax</v>
      </c>
      <c r="F13" s="4" t="str">
        <f ca="1"/>
        <v>Swaraj Kalsi</v>
      </c>
      <c r="G13" s="4" t="str">
        <f ca="1"/>
        <v>Closed</v>
      </c>
      <c r="H13" s="4" t="str">
        <f ca="1"/>
        <v>Normal - P2</v>
      </c>
      <c r="I13" s="4" t="str">
        <f ca="1"/>
        <v>USA</v>
      </c>
      <c r="J13" s="4">
        <f ca="1"/>
        <v>1.5</v>
      </c>
      <c r="K13" s="22">
        <f ca="1"/>
        <v>46071</v>
      </c>
      <c r="L13" s="33">
        <f ca="1"/>
        <v>6</v>
      </c>
      <c r="M13" s="4"/>
    </row>
    <row r="14" spans="1:13" x14ac:dyDescent="0.2">
      <c r="A14" s="4" t="str">
        <f ca="1"/>
        <v>DS-73731-B5W8</v>
      </c>
      <c r="B14" s="4" t="str">
        <f ca="1"/>
        <v>Iridex Corporation</v>
      </c>
      <c r="C14" s="4" t="str">
        <f ca="1"/>
        <v>Brian Yates</v>
      </c>
      <c r="D14" s="21">
        <f ca="1"/>
        <v>46073.327777777777</v>
      </c>
      <c r="E14" s="4" t="str">
        <f ca="1"/>
        <v>Jet Report runs and never completes. May need fixing.  Jet Report for acct# 2021</v>
      </c>
      <c r="F14" s="4" t="str">
        <f ca="1"/>
        <v>Jay Desai</v>
      </c>
      <c r="G14" s="4" t="str">
        <f ca="1"/>
        <v>Closed</v>
      </c>
      <c r="H14" s="4" t="str">
        <f ca="1"/>
        <v>Normal - P2</v>
      </c>
      <c r="I14" s="4" t="str">
        <f ca="1"/>
        <v>USA</v>
      </c>
      <c r="J14" s="4">
        <f ca="1"/>
        <v>0</v>
      </c>
      <c r="K14" s="22">
        <f ca="1"/>
        <v>46079</v>
      </c>
      <c r="L14" s="33">
        <f ca="1"/>
        <v>6.672222222223354</v>
      </c>
      <c r="M14" s="4"/>
    </row>
    <row r="15" spans="1:13" x14ac:dyDescent="0.2">
      <c r="A15" s="4" t="str">
        <f ca="1"/>
        <v>DS-74014-V7H5</v>
      </c>
      <c r="B15" s="4" t="str">
        <f ca="1"/>
        <v>Franken Solar</v>
      </c>
      <c r="C15" s="4" t="str">
        <f ca="1"/>
        <v>Steve Bachand</v>
      </c>
      <c r="D15" s="21">
        <f ca="1"/>
        <v>46077.92291666667</v>
      </c>
      <c r="E15" s="4" t="str">
        <f ca="1"/>
        <v>FW: Modify your extension so it’s compatible with the version 27.5.46631.0</v>
      </c>
      <c r="F15" s="4">
        <f ca="1"/>
        <v>0</v>
      </c>
      <c r="G15" s="4" t="str">
        <f ca="1"/>
        <v>Closed</v>
      </c>
      <c r="H15" s="4">
        <f ca="1"/>
        <v>0</v>
      </c>
      <c r="I15" s="4" t="str">
        <f ca="1"/>
        <v>Canada</v>
      </c>
      <c r="J15" s="4">
        <f ca="1"/>
        <v>0</v>
      </c>
      <c r="K15" s="22">
        <f ca="1"/>
        <v>46079</v>
      </c>
      <c r="L15" s="33">
        <f ca="1"/>
        <v>2.0770833333299379</v>
      </c>
      <c r="M15" s="4"/>
    </row>
    <row r="16" spans="1:13" x14ac:dyDescent="0.2">
      <c r="A16" s="4" t="str">
        <f ca="1"/>
        <v>DS-74933-H7J6</v>
      </c>
      <c r="B16" s="4" t="str">
        <f ca="1"/>
        <v>Aline Studio</v>
      </c>
      <c r="C16" s="4" t="str">
        <f ca="1"/>
        <v>LINDSEY BEDNAR</v>
      </c>
      <c r="D16" s="21">
        <f ca="1"/>
        <v>46084.825694444444</v>
      </c>
      <c r="E16" s="4" t="str">
        <f ca="1"/>
        <v>ALine support request - turn off auto contact adding + fix time zone</v>
      </c>
      <c r="F16" s="4" t="str">
        <f ca="1"/>
        <v>Sahil Bhaldar</v>
      </c>
      <c r="G16" s="4" t="str">
        <f ca="1"/>
        <v>Closed</v>
      </c>
      <c r="H16" s="4" t="str">
        <f ca="1"/>
        <v>Normal - P2</v>
      </c>
      <c r="I16" s="4" t="str">
        <f ca="1"/>
        <v>USA</v>
      </c>
      <c r="J16" s="4">
        <f ca="1"/>
        <v>0.75</v>
      </c>
      <c r="K16" s="22">
        <f ca="1"/>
        <v>46085</v>
      </c>
      <c r="L16" s="33">
        <f ca="1"/>
        <v>1.1743055555562023</v>
      </c>
      <c r="M16" s="4"/>
    </row>
    <row r="17" spans="1:13" x14ac:dyDescent="0.2">
      <c r="A17" s="4" t="str">
        <f ca="1"/>
        <v>DS-75059-H4P6</v>
      </c>
      <c r="B17" s="4" t="str">
        <f ca="1"/>
        <v>Truecare Biomedix</v>
      </c>
      <c r="C17" s="4" t="str">
        <f ca="1"/>
        <v>Narayan Raj</v>
      </c>
      <c r="D17" s="21">
        <f ca="1"/>
        <v>46086.362500000003</v>
      </c>
      <c r="E17" s="4" t="str">
        <f ca="1"/>
        <v>Packing slip needs an urgent correction</v>
      </c>
      <c r="F17" s="4" t="str">
        <f ca="1"/>
        <v>Swaraj Kalsi</v>
      </c>
      <c r="G17" s="4" t="str">
        <f ca="1"/>
        <v>Closed</v>
      </c>
      <c r="H17" s="4" t="str">
        <f ca="1"/>
        <v>Normal - P2</v>
      </c>
      <c r="I17" s="4" t="str">
        <f ca="1"/>
        <v>USA</v>
      </c>
      <c r="J17" s="4">
        <f ca="1"/>
        <v>1</v>
      </c>
      <c r="K17" s="22">
        <f ca="1"/>
        <v>46087</v>
      </c>
      <c r="L17" s="33">
        <f ca="1"/>
        <v>1.6374999999970896</v>
      </c>
      <c r="M17" s="4"/>
    </row>
    <row r="18" spans="1:13" x14ac:dyDescent="0.2">
      <c r="A18" s="4" t="str">
        <f ca="1"/>
        <v>DS-75098-J7R0</v>
      </c>
      <c r="B18" s="4" t="str">
        <f ca="1"/>
        <v>Iridex Corporation</v>
      </c>
      <c r="C18" s="4" t="str">
        <f ca="1"/>
        <v>Brian Yates</v>
      </c>
      <c r="D18" s="21">
        <f ca="1"/>
        <v>46086.684027777781</v>
      </c>
      <c r="E18" s="4" t="str">
        <f ca="1"/>
        <v>New Supplier // REPUBLIC OF THE MARSHALL ISLANDS // 030326</v>
      </c>
      <c r="F18" s="4" t="str">
        <f ca="1"/>
        <v>Swaraj Kalsi</v>
      </c>
      <c r="G18" s="4" t="str">
        <f ca="1"/>
        <v>Closed</v>
      </c>
      <c r="H18" s="4" t="str">
        <f ca="1"/>
        <v>Normal - P2</v>
      </c>
      <c r="I18" s="4" t="str">
        <f ca="1"/>
        <v>USA</v>
      </c>
      <c r="J18" s="4">
        <f ca="1"/>
        <v>1</v>
      </c>
      <c r="K18" s="22">
        <f ca="1"/>
        <v>46086</v>
      </c>
      <c r="L18" s="33">
        <f ca="1"/>
        <v>0.31597222221898846</v>
      </c>
      <c r="M18" s="4"/>
    </row>
    <row r="19" spans="1:13" x14ac:dyDescent="0.2">
      <c r="A19" s="4" t="str">
        <f ca="1"/>
        <v>DS-75472-D4V2</v>
      </c>
      <c r="B19" s="4" t="str">
        <f ca="1"/>
        <v>Van Dolder's Home Team</v>
      </c>
      <c r="C19" s="4" t="str">
        <f ca="1"/>
        <v>Marty Tengelis</v>
      </c>
      <c r="D19" s="21">
        <f ca="1"/>
        <v>46090.521527777775</v>
      </c>
      <c r="E19" s="4" t="str">
        <f ca="1"/>
        <v>Sales ORder not updating</v>
      </c>
      <c r="F19" s="4" t="str">
        <f ca="1"/>
        <v>Swaraj Kalsi</v>
      </c>
      <c r="G19" s="4" t="str">
        <f ca="1"/>
        <v>Closed</v>
      </c>
      <c r="H19" s="4" t="str">
        <f ca="1"/>
        <v>Normal - P2</v>
      </c>
      <c r="I19" s="4" t="str">
        <f ca="1"/>
        <v>Canada</v>
      </c>
      <c r="J19" s="4">
        <f ca="1"/>
        <v>1</v>
      </c>
      <c r="K19" s="22">
        <f ca="1"/>
        <v>46094</v>
      </c>
      <c r="L19" s="33">
        <f ca="1"/>
        <v>4.4784722222248092</v>
      </c>
      <c r="M19" s="4"/>
    </row>
    <row r="20" spans="1:13" x14ac:dyDescent="0.2">
      <c r="A20" t="str">
        <f ca="1"/>
        <v>DS-75607-W7R7</v>
      </c>
      <c r="B20" t="str">
        <f ca="1"/>
        <v>Truecare Biomedix</v>
      </c>
      <c r="C20" t="str">
        <f ca="1"/>
        <v>Rossanna Vanegas</v>
      </c>
      <c r="D20" s="30">
        <f ca="1"/>
        <v>46091.634722222225</v>
      </c>
      <c r="E20" t="str">
        <f ca="1"/>
        <v>Urgent Request: Unlock UOM Titles on Posted Sales Invoices (Production Environment)</v>
      </c>
      <c r="F20" t="str">
        <f ca="1"/>
        <v>Swaraj Kalsi</v>
      </c>
      <c r="G20" t="str">
        <f ca="1"/>
        <v>Closed</v>
      </c>
      <c r="H20" t="str">
        <f ca="1"/>
        <v>Normal - P2</v>
      </c>
      <c r="I20" t="str">
        <f ca="1"/>
        <v>USA</v>
      </c>
      <c r="J20">
        <f ca="1"/>
        <v>2.5</v>
      </c>
      <c r="K20" s="13">
        <f ca="1"/>
        <v>46092</v>
      </c>
      <c r="L20" s="34">
        <f ca="1"/>
        <v>1.3652777777751908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CC85E-FD17-47A1-9372-F4B3C16A54C3}">
  <dimension ref="A1:G24"/>
  <sheetViews>
    <sheetView zoomScale="135" zoomScaleNormal="86" workbookViewId="0">
      <selection activeCell="C32" sqref="C32"/>
    </sheetView>
  </sheetViews>
  <sheetFormatPr baseColWidth="10" defaultColWidth="8.83203125" defaultRowHeight="15" x14ac:dyDescent="0.2"/>
  <cols>
    <col min="1" max="1" width="29.1640625" customWidth="1"/>
    <col min="2" max="3" width="10.33203125" style="16" bestFit="1" customWidth="1"/>
    <col min="4" max="4" width="11.5" style="16" bestFit="1" customWidth="1"/>
    <col min="5" max="5" width="9.6640625" style="16" bestFit="1" customWidth="1"/>
    <col min="7" max="8" width="18.5" customWidth="1"/>
  </cols>
  <sheetData>
    <row r="1" spans="1:7" ht="16" x14ac:dyDescent="0.2">
      <c r="A1" s="39" t="s">
        <v>165</v>
      </c>
      <c r="B1" s="39" t="s">
        <v>166</v>
      </c>
      <c r="C1" s="39" t="s">
        <v>167</v>
      </c>
      <c r="D1" s="39" t="s">
        <v>168</v>
      </c>
      <c r="E1" s="39" t="s">
        <v>169</v>
      </c>
    </row>
    <row r="2" spans="1:7" ht="16" x14ac:dyDescent="0.2">
      <c r="A2" s="40" t="s">
        <v>170</v>
      </c>
      <c r="B2" s="23">
        <v>47</v>
      </c>
      <c r="C2" s="40">
        <v>47</v>
      </c>
      <c r="D2" s="23">
        <v>47</v>
      </c>
      <c r="E2" s="23">
        <f ca="1">D2-SUMIFS(All_Tickets!M:M, All_Tickets!E:E, A2, All_Tickets!J:J, "Closed", All_Tickets!N:N, "&gt;="&amp;EOMONTH(TODAY(),-1)+1, All_Tickets!N:N, "&lt;="&amp;EOMONTH(TODAY(),0))</f>
        <v>47</v>
      </c>
    </row>
    <row r="3" spans="1:7" ht="16" x14ac:dyDescent="0.2">
      <c r="A3" s="40" t="s">
        <v>171</v>
      </c>
      <c r="B3" s="23">
        <v>24.5</v>
      </c>
      <c r="C3" s="40">
        <v>24.5</v>
      </c>
      <c r="D3" s="23">
        <v>24.5</v>
      </c>
      <c r="E3" s="23">
        <f ca="1">D3-SUMIFS(All_Tickets!M:M, All_Tickets!E:E, A3, All_Tickets!J:J, "Closed", All_Tickets!N:N, "&gt;="&amp;EOMONTH(TODAY(),-1)+1, All_Tickets!N:N, "&lt;="&amp;EOMONTH(TODAY(),0))</f>
        <v>24.5</v>
      </c>
    </row>
    <row r="4" spans="1:7" ht="16" x14ac:dyDescent="0.2">
      <c r="A4" s="40" t="s">
        <v>172</v>
      </c>
      <c r="B4" s="23">
        <v>24</v>
      </c>
      <c r="C4" s="40">
        <v>24</v>
      </c>
      <c r="D4" s="23">
        <v>24</v>
      </c>
      <c r="E4" s="23">
        <f ca="1">D4-SUMIFS(All_Tickets!M:M, All_Tickets!E:E, A4, All_Tickets!J:J, "Closed", All_Tickets!N:N, "&gt;="&amp;EOMONTH(TODAY(),-1)+1, All_Tickets!N:N, "&lt;="&amp;EOMONTH(TODAY(),0))</f>
        <v>24</v>
      </c>
    </row>
    <row r="5" spans="1:7" ht="16" x14ac:dyDescent="0.2">
      <c r="A5" s="40" t="s">
        <v>173</v>
      </c>
      <c r="B5" s="23">
        <v>46.5</v>
      </c>
      <c r="C5" s="40">
        <v>46.5</v>
      </c>
      <c r="D5" s="23">
        <v>46.5</v>
      </c>
      <c r="E5" s="23">
        <f ca="1">D5-SUMIFS(All_Tickets!M:M, All_Tickets!E:E, A5, All_Tickets!J:J, "Closed", All_Tickets!N:N, "&gt;="&amp;EOMONTH(TODAY(),-1)+1, All_Tickets!N:N, "&lt;="&amp;EOMONTH(TODAY(),0))</f>
        <v>46.5</v>
      </c>
    </row>
    <row r="6" spans="1:7" ht="16" x14ac:dyDescent="0.2">
      <c r="A6" s="40" t="s">
        <v>115</v>
      </c>
      <c r="B6" s="23">
        <v>35.5</v>
      </c>
      <c r="C6" s="40">
        <v>35.5</v>
      </c>
      <c r="D6" s="23">
        <v>35.5</v>
      </c>
      <c r="E6" s="23">
        <f ca="1">D6-SUMIFS(All_Tickets!M:M, All_Tickets!E:E, A6, All_Tickets!J:J, "Closed", All_Tickets!N:N, "&gt;="&amp;EOMONTH(TODAY(),-1)+1, All_Tickets!N:N, "&lt;="&amp;EOMONTH(TODAY(),0))</f>
        <v>35.5</v>
      </c>
    </row>
    <row r="7" spans="1:7" ht="16" x14ac:dyDescent="0.2">
      <c r="A7" s="40" t="s">
        <v>174</v>
      </c>
      <c r="B7" s="23" t="s">
        <v>175</v>
      </c>
      <c r="C7" s="43" t="s">
        <v>175</v>
      </c>
      <c r="D7" s="23" t="s">
        <v>176</v>
      </c>
      <c r="E7" s="56" t="s">
        <v>177</v>
      </c>
      <c r="G7" s="55"/>
    </row>
    <row r="8" spans="1:7" ht="16" x14ac:dyDescent="0.2">
      <c r="A8" s="40" t="s">
        <v>178</v>
      </c>
      <c r="B8" s="23">
        <v>21.5</v>
      </c>
      <c r="C8" s="40">
        <v>20.5</v>
      </c>
      <c r="D8" s="23">
        <v>20.5</v>
      </c>
      <c r="E8" s="23">
        <f ca="1">D8-SUMIFS(All_Tickets!M:M, All_Tickets!E:E, A8, All_Tickets!J:J, "Closed", All_Tickets!N:N, "&gt;="&amp;EOMONTH(TODAY(),-1)+1, All_Tickets!N:N, "&lt;="&amp;EOMONTH(TODAY(),0))</f>
        <v>20.5</v>
      </c>
    </row>
    <row r="9" spans="1:7" ht="16" x14ac:dyDescent="0.2">
      <c r="A9" s="40" t="s">
        <v>36</v>
      </c>
      <c r="B9" s="23">
        <v>4</v>
      </c>
      <c r="C9" s="40">
        <v>4</v>
      </c>
      <c r="D9" s="23">
        <v>3</v>
      </c>
      <c r="E9" s="23">
        <f ca="1">D9-SUMIFS(All_Tickets!M:M, All_Tickets!E:E, A9, All_Tickets!J:J, "Closed", All_Tickets!N:N, "&gt;="&amp;EOMONTH(TODAY(),-1)+1, All_Tickets!N:N, "&lt;="&amp;EOMONTH(TODAY(),0))</f>
        <v>3</v>
      </c>
    </row>
    <row r="10" spans="1:7" x14ac:dyDescent="0.2">
      <c r="A10" s="59" t="s">
        <v>179</v>
      </c>
      <c r="B10" s="23">
        <v>13.5</v>
      </c>
      <c r="C10" s="23">
        <v>13.5</v>
      </c>
      <c r="D10" s="23">
        <v>13.5</v>
      </c>
      <c r="E10" s="23">
        <f ca="1">D10-SUMIFS(All_Tickets!M:M, All_Tickets!E:E, A10, All_Tickets!J:J, "Closed", All_Tickets!N:N, "&gt;="&amp;EOMONTH(TODAY(),-1)+1, All_Tickets!N:N, "&lt;="&amp;EOMONTH(TODAY(),0))</f>
        <v>13.5</v>
      </c>
    </row>
    <row r="11" spans="1:7" ht="16" x14ac:dyDescent="0.2">
      <c r="A11" s="40" t="s">
        <v>60</v>
      </c>
      <c r="B11" s="23">
        <v>34.799999999999997</v>
      </c>
      <c r="C11" s="23">
        <v>26.8</v>
      </c>
      <c r="D11" s="23">
        <v>12.05</v>
      </c>
      <c r="E11" s="23">
        <f ca="1">D11-SUMIFS(All_Tickets!M:M, All_Tickets!E:E, A11, All_Tickets!J:J, "Closed", All_Tickets!N:N, "&gt;="&amp;EOMONTH(TODAY(),-1)+1, All_Tickets!N:N, "&lt;="&amp;EOMONTH(TODAY(),0))</f>
        <v>11.05</v>
      </c>
    </row>
    <row r="12" spans="1:7" ht="16" x14ac:dyDescent="0.2">
      <c r="A12" s="40" t="s">
        <v>52</v>
      </c>
      <c r="B12" s="23">
        <v>28.25</v>
      </c>
      <c r="C12" s="23">
        <v>25.25</v>
      </c>
      <c r="D12" s="23">
        <v>18.25</v>
      </c>
      <c r="E12" s="23">
        <f ca="1">D12-SUMIFS(All_Tickets!M:M, All_Tickets!E:E, A12, All_Tickets!J:J, "Closed", All_Tickets!N:N, "&gt;="&amp;EOMONTH(TODAY(),-1)+1, All_Tickets!N:N, "&lt;="&amp;EOMONTH(TODAY(),0))</f>
        <v>18.25</v>
      </c>
    </row>
    <row r="13" spans="1:7" ht="16" x14ac:dyDescent="0.2">
      <c r="A13" s="40" t="s">
        <v>82</v>
      </c>
      <c r="B13" s="23">
        <v>52.5</v>
      </c>
      <c r="C13" s="23">
        <v>52.5</v>
      </c>
      <c r="D13" s="23">
        <v>51</v>
      </c>
      <c r="E13" s="23">
        <f ca="1">D13-SUMIFS(All_Tickets!M:M, All_Tickets!E:E, A13, All_Tickets!J:J, "Closed", All_Tickets!N:N, "&gt;="&amp;EOMONTH(TODAY(),-1)+1, All_Tickets!N:N, "&lt;="&amp;EOMONTH(TODAY(),0))</f>
        <v>51</v>
      </c>
    </row>
    <row r="14" spans="1:7" ht="16" x14ac:dyDescent="0.2">
      <c r="A14" s="40" t="s">
        <v>180</v>
      </c>
      <c r="B14" s="23">
        <v>14.5</v>
      </c>
      <c r="C14" s="40">
        <v>14.5</v>
      </c>
      <c r="D14" s="40">
        <v>14.5</v>
      </c>
      <c r="E14" s="23">
        <f ca="1">D14-SUMIFS(All_Tickets!M:M, All_Tickets!E:E, A14, All_Tickets!J:J, "Closed", All_Tickets!N:N, "&gt;="&amp;EOMONTH(TODAY(),-1)+1, All_Tickets!N:N, "&lt;="&amp;EOMONTH(TODAY(),0))</f>
        <v>14.5</v>
      </c>
    </row>
    <row r="15" spans="1:7" ht="16" x14ac:dyDescent="0.2">
      <c r="A15" s="40" t="s">
        <v>181</v>
      </c>
      <c r="B15" s="56">
        <v>9.5</v>
      </c>
      <c r="C15" s="56">
        <v>9.5</v>
      </c>
      <c r="D15" s="56">
        <v>8.5</v>
      </c>
      <c r="E15" s="23">
        <f ca="1">D15-SUMIFS(All_Tickets!M:M, All_Tickets!E:E, A15, All_Tickets!J:J, "Closed", All_Tickets!N:N, "&gt;="&amp;EOMONTH(TODAY(),-1)+1, All_Tickets!N:N, "&lt;="&amp;EOMONTH(TODAY(),0))</f>
        <v>8.5</v>
      </c>
    </row>
    <row r="16" spans="1:7" ht="16" x14ac:dyDescent="0.2">
      <c r="A16" s="40" t="s">
        <v>19</v>
      </c>
      <c r="B16" s="56">
        <v>47</v>
      </c>
      <c r="C16" s="56">
        <v>47</v>
      </c>
      <c r="D16" s="56">
        <v>44</v>
      </c>
      <c r="E16" s="23">
        <f ca="1">D16-SUMIFS(All_Tickets!M:M, All_Tickets!E:E, A16, All_Tickets!J:J, "Closed", All_Tickets!N:N, "&gt;="&amp;EOMONTH(TODAY(),-1)+1, All_Tickets!N:N, "&lt;="&amp;EOMONTH(TODAY(),0))</f>
        <v>44</v>
      </c>
    </row>
    <row r="17" spans="1:5" ht="16" x14ac:dyDescent="0.2">
      <c r="A17" s="40" t="s">
        <v>29</v>
      </c>
      <c r="B17" s="56">
        <v>30.5</v>
      </c>
      <c r="C17" s="56">
        <v>29</v>
      </c>
      <c r="D17" s="56">
        <v>27</v>
      </c>
      <c r="E17" s="23">
        <f ca="1">D17-SUMIFS(All_Tickets!M:M, All_Tickets!E:E, A17, All_Tickets!J:J, "Closed", All_Tickets!N:N, "&gt;="&amp;EOMONTH(TODAY(),-1)+1, All_Tickets!N:N, "&lt;="&amp;EOMONTH(TODAY(),0))</f>
        <v>27</v>
      </c>
    </row>
    <row r="18" spans="1:5" ht="16" x14ac:dyDescent="0.2">
      <c r="A18" s="40" t="s">
        <v>46</v>
      </c>
      <c r="B18" s="56">
        <v>100</v>
      </c>
      <c r="C18" s="56">
        <v>100</v>
      </c>
      <c r="D18" s="56">
        <v>97</v>
      </c>
      <c r="E18" s="23">
        <f ca="1">D18-SUMIFS(All_Tickets!M:M, All_Tickets!E:E, A18, All_Tickets!J:J, "Closed", All_Tickets!N:N, "&gt;="&amp;EOMONTH(TODAY(),-1)+1, All_Tickets!N:N, "&lt;="&amp;EOMONTH(TODAY(),0))</f>
        <v>97</v>
      </c>
    </row>
    <row r="19" spans="1:5" ht="16" x14ac:dyDescent="0.2">
      <c r="A19" s="40" t="s">
        <v>136</v>
      </c>
      <c r="B19" s="56">
        <v>50</v>
      </c>
      <c r="C19" s="56">
        <v>50</v>
      </c>
      <c r="D19" s="56">
        <v>47.5</v>
      </c>
      <c r="E19" s="23">
        <f ca="1">D19-SUMIFS(All_Tickets!M:M, All_Tickets!E:E, A19, All_Tickets!J:J, "Closed", All_Tickets!N:N, "&gt;="&amp;EOMONTH(TODAY(),-1)+1, All_Tickets!N:N, "&lt;="&amp;EOMONTH(TODAY(),0))</f>
        <v>47.5</v>
      </c>
    </row>
    <row r="20" spans="1:5" ht="16" x14ac:dyDescent="0.2">
      <c r="A20" s="40" t="s">
        <v>94</v>
      </c>
      <c r="B20" s="56">
        <v>45</v>
      </c>
      <c r="C20" s="56">
        <v>34.5</v>
      </c>
      <c r="D20" s="56">
        <v>27</v>
      </c>
      <c r="E20" s="23">
        <f ca="1">D20-SUMIFS(All_Tickets!M:M, All_Tickets!E:E, A20, All_Tickets!J:J, "Closed", All_Tickets!N:N, "&gt;="&amp;EOMONTH(TODAY(),-1)+1, All_Tickets!N:N, "&lt;="&amp;EOMONTH(TODAY(),0))</f>
        <v>23.5</v>
      </c>
    </row>
    <row r="21" spans="1:5" ht="16" x14ac:dyDescent="0.2">
      <c r="A21" s="40" t="s">
        <v>141</v>
      </c>
      <c r="B21" s="56">
        <v>30.5</v>
      </c>
      <c r="C21" s="56">
        <f>B21-5.5</f>
        <v>25</v>
      </c>
      <c r="D21" s="56">
        <v>25</v>
      </c>
      <c r="E21" s="23">
        <f ca="1">D21-SUMIFS(All_Tickets!M:M, All_Tickets!E:E, A21, All_Tickets!J:J, "Closed", All_Tickets!N:N, "&gt;="&amp;EOMONTH(TODAY(),-1)+1, All_Tickets!N:N, "&lt;="&amp;EOMONTH(TODAY(),0))</f>
        <v>24</v>
      </c>
    </row>
    <row r="22" spans="1:5" ht="16" x14ac:dyDescent="0.2">
      <c r="A22" s="40" t="s">
        <v>182</v>
      </c>
      <c r="B22" s="56">
        <v>48.5</v>
      </c>
      <c r="C22" s="56">
        <v>48</v>
      </c>
      <c r="D22" s="56">
        <v>48</v>
      </c>
      <c r="E22" s="23">
        <f ca="1">D22-SUMIFS(All_Tickets!M:M, All_Tickets!E:E, A22, All_Tickets!J:J, "Closed", All_Tickets!N:N, "&gt;="&amp;EOMONTH(TODAY(),-1)+1, All_Tickets!N:N, "&lt;="&amp;EOMONTH(TODAY(),0))</f>
        <v>48</v>
      </c>
    </row>
    <row r="23" spans="1:5" x14ac:dyDescent="0.2">
      <c r="A23" s="54" t="s">
        <v>183</v>
      </c>
      <c r="B23" s="23">
        <v>0</v>
      </c>
      <c r="C23" s="23">
        <v>0</v>
      </c>
      <c r="D23" s="23">
        <v>49</v>
      </c>
      <c r="E23" s="23">
        <f ca="1">D23-SUMIFS(All_Tickets!M:M, All_Tickets!E:E, A23, All_Tickets!J:J, "Closed", All_Tickets!N:N, "&gt;="&amp;EOMONTH(TODAY(),-1)+1, All_Tickets!N:N, "&lt;="&amp;EOMONTH(TODAY(),0))</f>
        <v>49</v>
      </c>
    </row>
    <row r="24" spans="1:5" x14ac:dyDescent="0.2">
      <c r="A24" s="54" t="s">
        <v>120</v>
      </c>
      <c r="B24" s="23">
        <v>0</v>
      </c>
      <c r="C24" s="23">
        <v>0</v>
      </c>
      <c r="D24" s="23">
        <v>50</v>
      </c>
      <c r="E24" s="23">
        <f ca="1">D24-SUMIFS(All_Tickets!M:M, All_Tickets!E:E, A24, All_Tickets!J:J, "Closed", All_Tickets!N:N, "&gt;="&amp;EOMONTH(TODAY(),-1)+1, All_Tickets!N:N, "&lt;="&amp;EOMONTH(TODAY(),0))</f>
        <v>49.25</v>
      </c>
    </row>
  </sheetData>
  <dataValidations count="1">
    <dataValidation type="textLength" operator="lessThanOrEqual" showInputMessage="1" showErrorMessage="1" errorTitle="Length Exceeded" error="This value must be less than or equal to 160 characters long." promptTitle="Text (required)" prompt="Maximum Length: 160 characters." sqref="A10" xr:uid="{D929D4E2-F39B-46EC-9213-997AA506F96E}">
      <formula1>160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B48DA-9308-48AC-94A5-92113C1CDCE4}">
  <dimension ref="A1:C24"/>
  <sheetViews>
    <sheetView zoomScale="82" zoomScaleNormal="81" workbookViewId="0">
      <selection activeCell="C32" sqref="C32"/>
    </sheetView>
  </sheetViews>
  <sheetFormatPr baseColWidth="10" defaultColWidth="8.83203125" defaultRowHeight="15" x14ac:dyDescent="0.2"/>
  <cols>
    <col min="1" max="1" width="26.5" customWidth="1"/>
    <col min="2" max="2" width="8" customWidth="1"/>
    <col min="3" max="3" width="7.6640625" style="3" customWidth="1"/>
  </cols>
  <sheetData>
    <row r="1" spans="1:3" ht="16" x14ac:dyDescent="0.2">
      <c r="A1" s="39" t="s">
        <v>165</v>
      </c>
      <c r="B1" s="57" t="s">
        <v>168</v>
      </c>
      <c r="C1" s="45" t="s">
        <v>184</v>
      </c>
    </row>
    <row r="2" spans="1:3" ht="16" x14ac:dyDescent="0.2">
      <c r="A2" s="40" t="s">
        <v>170</v>
      </c>
      <c r="B2" s="58">
        <f>_xlfn.XLOOKUP(A2,'Balance Hours'!A:A,'Balance Hours'!C:C)-_xlfn.XLOOKUP(A2,'Balance Hours'!A:A,'Balance Hours'!D:D)</f>
        <v>0</v>
      </c>
      <c r="C2" s="32">
        <f>SUMIFS(All_Tickets!M:M, All_Tickets!E:E, $A2, All_Tickets!J:J, "Closed", All_Tickets!N:N, "&gt;="&amp;DATE(2026,3,1), All_Tickets!N:N, "&lt;"&amp;DATE(2026,3,31))</f>
        <v>0</v>
      </c>
    </row>
    <row r="3" spans="1:3" ht="16" x14ac:dyDescent="0.2">
      <c r="A3" s="40" t="s">
        <v>171</v>
      </c>
      <c r="B3" s="58">
        <f>_xlfn.XLOOKUP(A3,'Balance Hours'!A:A,'Balance Hours'!C:C)-_xlfn.XLOOKUP(A3,'Balance Hours'!A:A,'Balance Hours'!D:D)</f>
        <v>0</v>
      </c>
      <c r="C3" s="32">
        <f>SUMIFS(All_Tickets!M:M, All_Tickets!E:E, $A3, All_Tickets!J:J, "Closed", All_Tickets!N:N, "&gt;="&amp;DATE(2026,3,1), All_Tickets!N:N, "&lt;"&amp;DATE(2026,3,31))</f>
        <v>0</v>
      </c>
    </row>
    <row r="4" spans="1:3" ht="16" x14ac:dyDescent="0.2">
      <c r="A4" s="40" t="s">
        <v>172</v>
      </c>
      <c r="B4" s="58">
        <f>_xlfn.XLOOKUP(A4,'Balance Hours'!A:A,'Balance Hours'!C:C)-_xlfn.XLOOKUP(A4,'Balance Hours'!A:A,'Balance Hours'!D:D)</f>
        <v>0</v>
      </c>
      <c r="C4" s="32">
        <f>SUMIFS(All_Tickets!M:M, All_Tickets!E:E, $A4, All_Tickets!J:J, "Closed", All_Tickets!N:N, "&gt;="&amp;DATE(2026,3,1), All_Tickets!N:N, "&lt;"&amp;DATE(2026,3,31))</f>
        <v>0</v>
      </c>
    </row>
    <row r="5" spans="1:3" ht="16" x14ac:dyDescent="0.2">
      <c r="A5" s="40" t="s">
        <v>173</v>
      </c>
      <c r="B5" s="58">
        <f>_xlfn.XLOOKUP(A5,'Balance Hours'!A:A,'Balance Hours'!C:C)-_xlfn.XLOOKUP(A5,'Balance Hours'!A:A,'Balance Hours'!D:D)</f>
        <v>0</v>
      </c>
      <c r="C5" s="32">
        <f>SUMIFS(All_Tickets!M:M, All_Tickets!E:E, $A5, All_Tickets!J:J, "Closed", All_Tickets!N:N, "&gt;="&amp;DATE(2026,3,1), All_Tickets!N:N, "&lt;"&amp;DATE(2026,3,31))</f>
        <v>0</v>
      </c>
    </row>
    <row r="6" spans="1:3" ht="16" x14ac:dyDescent="0.2">
      <c r="A6" s="40" t="s">
        <v>115</v>
      </c>
      <c r="B6" s="58">
        <f>_xlfn.XLOOKUP(A6,'Balance Hours'!A:A,'Balance Hours'!C:C)-_xlfn.XLOOKUP(A6,'Balance Hours'!A:A,'Balance Hours'!D:D)</f>
        <v>0</v>
      </c>
      <c r="C6" s="32">
        <f>SUMIFS(All_Tickets!M:M, All_Tickets!E:E, $A6, All_Tickets!J:J, "Closed", All_Tickets!N:N, "&gt;="&amp;DATE(2026,3,1), All_Tickets!N:N, "&lt;"&amp;DATE(2026,3,31))</f>
        <v>0</v>
      </c>
    </row>
    <row r="7" spans="1:3" ht="16" x14ac:dyDescent="0.2">
      <c r="A7" s="40" t="s">
        <v>174</v>
      </c>
      <c r="B7" s="58">
        <v>21.5</v>
      </c>
      <c r="C7" s="32">
        <f>SUMIFS(All_Tickets!M:M, All_Tickets!E:E, $A7, All_Tickets!J:J, "Closed", All_Tickets!N:N, "&gt;="&amp;DATE(2026,3,1), All_Tickets!N:N, "&lt;"&amp;DATE(2026,3,31))</f>
        <v>0</v>
      </c>
    </row>
    <row r="8" spans="1:3" ht="16" x14ac:dyDescent="0.2">
      <c r="A8" s="40" t="s">
        <v>178</v>
      </c>
      <c r="B8" s="58">
        <f>_xlfn.XLOOKUP(A8,'Balance Hours'!A:A,'Balance Hours'!C:C)-_xlfn.XLOOKUP(A8,'Balance Hours'!A:A,'Balance Hours'!D:D)</f>
        <v>0</v>
      </c>
      <c r="C8" s="32">
        <f>SUMIFS(All_Tickets!M:M, All_Tickets!E:E, $A8, All_Tickets!J:J, "Closed", All_Tickets!N:N, "&gt;="&amp;DATE(2026,3,1), All_Tickets!N:N, "&lt;"&amp;DATE(2026,3,31))</f>
        <v>0</v>
      </c>
    </row>
    <row r="9" spans="1:3" ht="16" x14ac:dyDescent="0.2">
      <c r="A9" s="40" t="s">
        <v>36</v>
      </c>
      <c r="B9" s="58">
        <f>_xlfn.XLOOKUP(A9,'Balance Hours'!A:A,'Balance Hours'!C:C)-_xlfn.XLOOKUP(A9,'Balance Hours'!A:A,'Balance Hours'!D:D)</f>
        <v>1</v>
      </c>
      <c r="C9" s="32">
        <f>SUMIFS(All_Tickets!M:M, All_Tickets!E:E, $A9, All_Tickets!J:J, "Closed", All_Tickets!N:N, "&gt;="&amp;DATE(2026,3,1), All_Tickets!N:N, "&lt;"&amp;DATE(2026,3,31))</f>
        <v>0</v>
      </c>
    </row>
    <row r="10" spans="1:3" ht="16" x14ac:dyDescent="0.2">
      <c r="A10" s="40" t="s">
        <v>60</v>
      </c>
      <c r="B10" s="58">
        <f>_xlfn.XLOOKUP(A10,'Balance Hours'!A:A,'Balance Hours'!C:C)-_xlfn.XLOOKUP(A10,'Balance Hours'!A:A,'Balance Hours'!D:D)</f>
        <v>14.75</v>
      </c>
      <c r="C10" s="32">
        <f>SUMIFS(All_Tickets!M:M, All_Tickets!E:E, $A10, All_Tickets!J:J, "Closed", All_Tickets!N:N, "&gt;="&amp;DATE(2026,3,1), All_Tickets!N:N, "&lt;"&amp;DATE(2026,3,31))</f>
        <v>1</v>
      </c>
    </row>
    <row r="11" spans="1:3" ht="16" x14ac:dyDescent="0.2">
      <c r="A11" s="40" t="s">
        <v>52</v>
      </c>
      <c r="B11" s="58">
        <f>_xlfn.XLOOKUP(A11,'Balance Hours'!A:A,'Balance Hours'!C:C)-_xlfn.XLOOKUP(A11,'Balance Hours'!A:A,'Balance Hours'!D:D)</f>
        <v>7</v>
      </c>
      <c r="C11" s="32">
        <f>SUMIFS(All_Tickets!M:M, All_Tickets!E:E, $A11, All_Tickets!J:J, "Closed", All_Tickets!N:N, "&gt;="&amp;DATE(2026,3,1), All_Tickets!N:N, "&lt;"&amp;DATE(2026,3,31))</f>
        <v>0</v>
      </c>
    </row>
    <row r="12" spans="1:3" ht="16" x14ac:dyDescent="0.2">
      <c r="A12" s="40" t="s">
        <v>82</v>
      </c>
      <c r="B12" s="58">
        <f>_xlfn.XLOOKUP(A12,'Balance Hours'!A:A,'Balance Hours'!C:C)-_xlfn.XLOOKUP(A12,'Balance Hours'!A:A,'Balance Hours'!D:D)</f>
        <v>1.5</v>
      </c>
      <c r="C12" s="32">
        <f>SUMIFS(All_Tickets!M:M, All_Tickets!E:E, $A12, All_Tickets!J:J, "Closed", All_Tickets!N:N, "&gt;="&amp;DATE(2026,3,1), All_Tickets!N:N, "&lt;"&amp;DATE(2026,3,31))</f>
        <v>0</v>
      </c>
    </row>
    <row r="13" spans="1:3" ht="16" x14ac:dyDescent="0.2">
      <c r="A13" s="40" t="s">
        <v>180</v>
      </c>
      <c r="B13" s="58">
        <f>_xlfn.XLOOKUP(A13,'Balance Hours'!A:A,'Balance Hours'!C:C)-_xlfn.XLOOKUP(A13,'Balance Hours'!A:A,'Balance Hours'!D:D)</f>
        <v>0</v>
      </c>
      <c r="C13" s="32">
        <f>SUMIFS(All_Tickets!M:M, All_Tickets!E:E, $A13, All_Tickets!J:J, "Closed", All_Tickets!N:N, "&gt;="&amp;DATE(2026,3,1), All_Tickets!N:N, "&lt;"&amp;DATE(2026,3,31))</f>
        <v>0</v>
      </c>
    </row>
    <row r="14" spans="1:3" ht="16" x14ac:dyDescent="0.2">
      <c r="A14" s="40" t="s">
        <v>181</v>
      </c>
      <c r="B14" s="58">
        <f>_xlfn.XLOOKUP(A14,'Balance Hours'!A:A,'Balance Hours'!C:C)-_xlfn.XLOOKUP(A14,'Balance Hours'!A:A,'Balance Hours'!D:D)</f>
        <v>1</v>
      </c>
      <c r="C14" s="32">
        <f>SUMIFS(All_Tickets!M:M, All_Tickets!E:E, $A14, All_Tickets!J:J, "Closed", All_Tickets!N:N, "&gt;="&amp;DATE(2026,3,1), All_Tickets!N:N, "&lt;"&amp;DATE(2026,3,31))</f>
        <v>0</v>
      </c>
    </row>
    <row r="15" spans="1:3" ht="16" x14ac:dyDescent="0.2">
      <c r="A15" s="40" t="s">
        <v>19</v>
      </c>
      <c r="B15" s="58">
        <f>_xlfn.XLOOKUP(A15,'Balance Hours'!A:A,'Balance Hours'!C:C)-_xlfn.XLOOKUP(A15,'Balance Hours'!A:A,'Balance Hours'!D:D)</f>
        <v>3</v>
      </c>
      <c r="C15" s="32">
        <f>SUMIFS(All_Tickets!M:M, All_Tickets!E:E, $A15, All_Tickets!J:J, "Closed", All_Tickets!N:N, "&gt;="&amp;DATE(2026,3,1), All_Tickets!N:N, "&lt;"&amp;DATE(2026,3,31))</f>
        <v>0</v>
      </c>
    </row>
    <row r="16" spans="1:3" ht="16" x14ac:dyDescent="0.2">
      <c r="A16" s="40" t="s">
        <v>29</v>
      </c>
      <c r="B16" s="58">
        <f>_xlfn.XLOOKUP(A16,'Balance Hours'!A:A,'Balance Hours'!C:C)-_xlfn.XLOOKUP(A16,'Balance Hours'!A:A,'Balance Hours'!D:D)</f>
        <v>2</v>
      </c>
      <c r="C16" s="32">
        <f>SUMIFS(All_Tickets!M:M, All_Tickets!E:E, $A16, All_Tickets!J:J, "Closed", All_Tickets!N:N, "&gt;="&amp;DATE(2026,3,1), All_Tickets!N:N, "&lt;"&amp;DATE(2026,3,31))</f>
        <v>0</v>
      </c>
    </row>
    <row r="17" spans="1:3" ht="16" x14ac:dyDescent="0.2">
      <c r="A17" s="40" t="s">
        <v>46</v>
      </c>
      <c r="B17" s="58">
        <f>_xlfn.XLOOKUP(A17,'Balance Hours'!A:A,'Balance Hours'!C:C)-_xlfn.XLOOKUP(A17,'Balance Hours'!A:A,'Balance Hours'!D:D)</f>
        <v>3</v>
      </c>
      <c r="C17" s="32">
        <f>SUMIFS(All_Tickets!M:M, All_Tickets!E:E, $A17, All_Tickets!J:J, "Closed", All_Tickets!N:N, "&gt;="&amp;DATE(2026,3,1), All_Tickets!N:N, "&lt;"&amp;DATE(2026,3,31))</f>
        <v>0</v>
      </c>
    </row>
    <row r="18" spans="1:3" ht="16" x14ac:dyDescent="0.2">
      <c r="A18" s="40" t="s">
        <v>136</v>
      </c>
      <c r="B18" s="58">
        <f>_xlfn.XLOOKUP(A18,'Balance Hours'!A:A,'Balance Hours'!C:C)-_xlfn.XLOOKUP(A18,'Balance Hours'!A:A,'Balance Hours'!D:D)</f>
        <v>2.5</v>
      </c>
      <c r="C18" s="32">
        <f>SUMIFS(All_Tickets!M:M, All_Tickets!E:E, $A18, All_Tickets!J:J, "Closed", All_Tickets!N:N, "&gt;="&amp;DATE(2026,3,1), All_Tickets!N:N, "&lt;"&amp;DATE(2026,3,31))</f>
        <v>0</v>
      </c>
    </row>
    <row r="19" spans="1:3" ht="16" x14ac:dyDescent="0.2">
      <c r="A19" s="40" t="s">
        <v>94</v>
      </c>
      <c r="B19" s="58">
        <f>_xlfn.XLOOKUP(A19,'Balance Hours'!A:A,'Balance Hours'!C:C)-_xlfn.XLOOKUP(A19,'Balance Hours'!A:A,'Balance Hours'!D:D)</f>
        <v>7.5</v>
      </c>
      <c r="C19" s="32">
        <f>SUMIFS(All_Tickets!M:M, All_Tickets!E:E, $A19, All_Tickets!J:J, "Closed", All_Tickets!N:N, "&gt;="&amp;DATE(2026,3,1), All_Tickets!N:N, "&lt;"&amp;DATE(2026,3,31))</f>
        <v>3.5</v>
      </c>
    </row>
    <row r="20" spans="1:3" ht="16" x14ac:dyDescent="0.2">
      <c r="A20" s="40" t="s">
        <v>141</v>
      </c>
      <c r="B20" s="58">
        <f>_xlfn.XLOOKUP(A20,'Balance Hours'!A:A,'Balance Hours'!C:C)-_xlfn.XLOOKUP(A20,'Balance Hours'!A:A,'Balance Hours'!D:D)</f>
        <v>0</v>
      </c>
      <c r="C20" s="32">
        <f>SUMIFS(All_Tickets!M:M, All_Tickets!E:E, $A20, All_Tickets!J:J, "Closed", All_Tickets!N:N, "&gt;="&amp;DATE(2026,3,1), All_Tickets!N:N, "&lt;"&amp;DATE(2026,3,31))</f>
        <v>1</v>
      </c>
    </row>
    <row r="21" spans="1:3" ht="16" x14ac:dyDescent="0.2">
      <c r="A21" s="40" t="s">
        <v>182</v>
      </c>
      <c r="B21" s="58">
        <f>_xlfn.XLOOKUP(A21,'Balance Hours'!A:A,'Balance Hours'!C:C)-_xlfn.XLOOKUP(A21,'Balance Hours'!A:A,'Balance Hours'!D:D)</f>
        <v>0</v>
      </c>
      <c r="C21" s="32">
        <f>SUMIFS(All_Tickets!M:M, All_Tickets!E:E, $A21, All_Tickets!J:J, "Closed", All_Tickets!N:N, "&gt;="&amp;DATE(2026,3,1), All_Tickets!N:N, "&lt;"&amp;DATE(2026,3,31))</f>
        <v>0</v>
      </c>
    </row>
    <row r="22" spans="1:3" x14ac:dyDescent="0.2">
      <c r="A22" s="54" t="s">
        <v>183</v>
      </c>
      <c r="B22" s="58">
        <v>0</v>
      </c>
      <c r="C22" s="32">
        <f>SUMIFS(All_Tickets!M:M, All_Tickets!E:E, $A22, All_Tickets!J:J, "Closed", All_Tickets!N:N, "&gt;="&amp;DATE(2026,3,1), All_Tickets!N:N, "&lt;"&amp;DATE(2026,3,31))</f>
        <v>0</v>
      </c>
    </row>
    <row r="23" spans="1:3" x14ac:dyDescent="0.2">
      <c r="A23" s="54" t="s">
        <v>120</v>
      </c>
      <c r="B23" s="58">
        <v>0</v>
      </c>
      <c r="C23" s="32">
        <f>SUMIFS(All_Tickets!M:M, All_Tickets!E:E, $A23, All_Tickets!J:J, "Closed", All_Tickets!N:N, "&gt;="&amp;DATE(2026,3,1), All_Tickets!N:N, "&lt;"&amp;DATE(2026,3,31))</f>
        <v>0.75</v>
      </c>
    </row>
    <row r="24" spans="1:3" ht="16" x14ac:dyDescent="0.2">
      <c r="A24" s="40" t="s">
        <v>185</v>
      </c>
      <c r="B24" s="32">
        <f>SUM(B2:B23)</f>
        <v>64.75</v>
      </c>
      <c r="C24" s="32">
        <f>SUM(C2:C23)</f>
        <v>6.25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80BB0-BD8B-4940-8F4D-71DA089099EA}">
  <dimension ref="A1:J11"/>
  <sheetViews>
    <sheetView workbookViewId="0">
      <selection activeCell="B10" sqref="B10"/>
    </sheetView>
  </sheetViews>
  <sheetFormatPr baseColWidth="10" defaultColWidth="8.83203125" defaultRowHeight="15" x14ac:dyDescent="0.2"/>
  <cols>
    <col min="1" max="1" width="17.5" customWidth="1"/>
    <col min="2" max="2" width="10.5" style="17" customWidth="1"/>
    <col min="4" max="5" width="23.83203125" bestFit="1" customWidth="1"/>
    <col min="6" max="6" width="15" bestFit="1" customWidth="1"/>
    <col min="7" max="7" width="27.1640625" bestFit="1" customWidth="1"/>
    <col min="8" max="8" width="12.33203125" bestFit="1" customWidth="1"/>
    <col min="9" max="10" width="15.1640625" bestFit="1" customWidth="1"/>
  </cols>
  <sheetData>
    <row r="1" spans="1:10" ht="18" thickTop="1" thickBot="1" x14ac:dyDescent="0.25">
      <c r="A1" s="61" t="s">
        <v>186</v>
      </c>
      <c r="B1" s="60">
        <f>COUNTIFS(All_Tickets!J2:J1000,"&lt;&gt;Closed",All_Tickets!J2:J1000,"&lt;&gt;")</f>
        <v>15</v>
      </c>
    </row>
    <row r="2" spans="1:10" ht="18" thickTop="1" thickBot="1" x14ac:dyDescent="0.25">
      <c r="A2" s="60" t="s">
        <v>187</v>
      </c>
      <c r="B2" s="60">
        <f ca="1">COUNTIFS(All_Tickets!J:J,"Closed",All_Tickets!N:N,TODAY())</f>
        <v>0</v>
      </c>
    </row>
    <row r="3" spans="1:10" ht="18" thickTop="1" thickBot="1" x14ac:dyDescent="0.25">
      <c r="A3" s="60" t="s">
        <v>188</v>
      </c>
      <c r="B3" s="60">
        <v>0</v>
      </c>
    </row>
    <row r="4" spans="1:10" ht="18" thickTop="1" thickBot="1" x14ac:dyDescent="0.25">
      <c r="A4" s="61" t="s">
        <v>189</v>
      </c>
      <c r="B4" s="60">
        <v>0</v>
      </c>
    </row>
    <row r="5" spans="1:10" ht="18" thickTop="1" thickBot="1" x14ac:dyDescent="0.25">
      <c r="A5" s="60" t="s">
        <v>190</v>
      </c>
      <c r="B5" s="60">
        <v>4</v>
      </c>
    </row>
    <row r="6" spans="1:10" ht="18" thickTop="1" thickBot="1" x14ac:dyDescent="0.25">
      <c r="A6" s="60" t="s">
        <v>191</v>
      </c>
      <c r="B6" s="60">
        <v>0</v>
      </c>
    </row>
    <row r="7" spans="1:10" ht="16" thickTop="1" x14ac:dyDescent="0.2">
      <c r="D7" s="41"/>
    </row>
    <row r="9" spans="1:10" x14ac:dyDescent="0.2">
      <c r="I9" s="2"/>
    </row>
    <row r="10" spans="1:10" x14ac:dyDescent="0.2">
      <c r="I10" s="2"/>
      <c r="J10" s="2"/>
    </row>
    <row r="11" spans="1:10" x14ac:dyDescent="0.2">
      <c r="J11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N3"/>
  <sheetViews>
    <sheetView workbookViewId="0"/>
  </sheetViews>
  <sheetFormatPr baseColWidth="10" defaultColWidth="8.83203125" defaultRowHeight="15" x14ac:dyDescent="0.2"/>
  <sheetData>
    <row r="1" spans="1:14" x14ac:dyDescent="0.2">
      <c r="A1" t="s">
        <v>192</v>
      </c>
    </row>
    <row r="2" spans="1:14" x14ac:dyDescent="0.2">
      <c r="A2" t="s">
        <v>193</v>
      </c>
      <c r="B2" t="s">
        <v>194</v>
      </c>
      <c r="C2" t="s">
        <v>40</v>
      </c>
      <c r="D2" t="s">
        <v>195</v>
      </c>
      <c r="E2" t="s">
        <v>196</v>
      </c>
      <c r="F2" t="s">
        <v>197</v>
      </c>
      <c r="G2" t="s">
        <v>198</v>
      </c>
      <c r="H2" t="s">
        <v>199</v>
      </c>
      <c r="I2" t="s">
        <v>200</v>
      </c>
      <c r="J2" t="s">
        <v>23</v>
      </c>
      <c r="K2" t="s">
        <v>201</v>
      </c>
      <c r="L2" t="s">
        <v>202</v>
      </c>
      <c r="M2" t="s">
        <v>203</v>
      </c>
      <c r="N2" t="s">
        <v>204</v>
      </c>
    </row>
    <row r="3" spans="1:14" x14ac:dyDescent="0.2">
      <c r="A3" t="s">
        <v>205</v>
      </c>
      <c r="B3" t="s">
        <v>24</v>
      </c>
      <c r="C3" t="s">
        <v>206</v>
      </c>
      <c r="D3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All_Tickets</vt:lpstr>
      <vt:lpstr>Close_Tickets</vt:lpstr>
      <vt:lpstr>Balance Hours</vt:lpstr>
      <vt:lpstr>Hours Used Monthly </vt:lpstr>
      <vt:lpstr>Updates format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Gopal Kaushal | Dynamics Square</cp:lastModifiedBy>
  <cp:revision/>
  <dcterms:created xsi:type="dcterms:W3CDTF">2026-02-19T12:55:34Z</dcterms:created>
  <dcterms:modified xsi:type="dcterms:W3CDTF">2026-03-15T13:20:04Z</dcterms:modified>
  <cp:category/>
  <cp:contentStatus/>
</cp:coreProperties>
</file>